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 Long\Downloads\"/>
    </mc:Choice>
  </mc:AlternateContent>
  <xr:revisionPtr revIDLastSave="0" documentId="8_{A34B74A9-C434-4DB6-88B7-63345C0983FE}" xr6:coauthVersionLast="47" xr6:coauthVersionMax="47" xr10:uidLastSave="{00000000-0000-0000-0000-000000000000}"/>
  <bookViews>
    <workbookView xWindow="-110" yWindow="-110" windowWidth="22780" windowHeight="14540" xr2:uid="{575F0534-DB4B-43A0-B095-F27C3BA68A0E}"/>
  </bookViews>
  <sheets>
    <sheet name="DCF" sheetId="1" r:id="rId1"/>
    <sheet name="TGR &amp; TV" sheetId="3" r:id="rId2"/>
    <sheet name="WACC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E21" i="1"/>
  <c r="F21" i="1"/>
  <c r="G21" i="1"/>
  <c r="H21" i="1"/>
  <c r="I21" i="1"/>
  <c r="J21" i="1"/>
  <c r="K21" i="1"/>
  <c r="L21" i="1"/>
  <c r="N15" i="1"/>
  <c r="H15" i="1" s="1"/>
  <c r="D4" i="1"/>
  <c r="C6" i="1"/>
  <c r="D6" i="1"/>
  <c r="C7" i="1"/>
  <c r="C13" i="1" s="1"/>
  <c r="D7" i="1"/>
  <c r="D10" i="1" s="1"/>
  <c r="C8" i="1"/>
  <c r="C10" i="1"/>
  <c r="N3" i="1"/>
  <c r="E4" i="1"/>
  <c r="N19" i="1"/>
  <c r="C10" i="3"/>
  <c r="C24" i="3"/>
  <c r="C28" i="3"/>
  <c r="L19" i="1"/>
  <c r="C26" i="1"/>
  <c r="N17" i="1"/>
  <c r="K17" i="1" s="1"/>
  <c r="C14" i="3"/>
  <c r="C5" i="3"/>
  <c r="C9" i="3" s="1"/>
  <c r="C8" i="3"/>
  <c r="K27" i="2"/>
  <c r="K9" i="2"/>
  <c r="K7" i="2"/>
  <c r="K11" i="2" s="1"/>
  <c r="F4" i="2" s="1"/>
  <c r="F6" i="2" s="1"/>
  <c r="K21" i="2" s="1"/>
  <c r="C7" i="2"/>
  <c r="C11" i="2" s="1"/>
  <c r="K24" i="2" s="1"/>
  <c r="N11" i="1"/>
  <c r="I11" i="1" s="1"/>
  <c r="N5" i="1"/>
  <c r="I5" i="1" s="1"/>
  <c r="D8" i="1" l="1"/>
  <c r="C14" i="1"/>
  <c r="C21" i="1"/>
  <c r="C23" i="1" s="1"/>
  <c r="D13" i="1"/>
  <c r="L11" i="1"/>
  <c r="H11" i="1"/>
  <c r="K11" i="1"/>
  <c r="J11" i="1"/>
  <c r="K19" i="1"/>
  <c r="H19" i="1"/>
  <c r="I19" i="1"/>
  <c r="J19" i="1"/>
  <c r="J17" i="1"/>
  <c r="I17" i="1"/>
  <c r="L17" i="1"/>
  <c r="H17" i="1"/>
  <c r="I15" i="1"/>
  <c r="L15" i="1"/>
  <c r="K15" i="1"/>
  <c r="J15" i="1"/>
  <c r="H5" i="1"/>
  <c r="L5" i="1"/>
  <c r="K5" i="1"/>
  <c r="J5" i="1"/>
  <c r="C9" i="2"/>
  <c r="K20" i="2" s="1"/>
  <c r="K29" i="2" s="1"/>
  <c r="C15" i="3" s="1"/>
  <c r="D14" i="1" l="1"/>
  <c r="D23" i="1"/>
  <c r="E6" i="1"/>
  <c r="F6" i="1"/>
  <c r="G6" i="1"/>
  <c r="H3" i="1" l="1"/>
  <c r="I3" i="1"/>
  <c r="J3" i="1"/>
  <c r="K3" i="1"/>
  <c r="L3" i="1"/>
  <c r="F4" i="1"/>
  <c r="G4" i="1"/>
  <c r="E7" i="1"/>
  <c r="E10" i="1" s="1"/>
  <c r="F7" i="1"/>
  <c r="F10" i="1" s="1"/>
  <c r="G7" i="1"/>
  <c r="G10" i="1" s="1"/>
  <c r="N10" i="1" l="1"/>
  <c r="I10" i="1" s="1"/>
  <c r="L6" i="1"/>
  <c r="L7" i="1"/>
  <c r="L8" i="1" s="1"/>
  <c r="K6" i="1"/>
  <c r="K7" i="1"/>
  <c r="K8" i="1" s="1"/>
  <c r="J7" i="1"/>
  <c r="J8" i="1" s="1"/>
  <c r="J6" i="1"/>
  <c r="I7" i="1"/>
  <c r="I8" i="1" s="1"/>
  <c r="I6" i="1"/>
  <c r="H6" i="1"/>
  <c r="H7" i="1"/>
  <c r="H8" i="1" s="1"/>
  <c r="H4" i="1"/>
  <c r="I4" i="1"/>
  <c r="E13" i="1"/>
  <c r="E8" i="1"/>
  <c r="F13" i="1"/>
  <c r="F8" i="1"/>
  <c r="G13" i="1"/>
  <c r="G8" i="1"/>
  <c r="H10" i="1" l="1"/>
  <c r="H9" i="1" s="1"/>
  <c r="H13" i="1" s="1"/>
  <c r="L10" i="1"/>
  <c r="L9" i="1" s="1"/>
  <c r="L13" i="1" s="1"/>
  <c r="M22" i="1" s="1"/>
  <c r="C27" i="3" s="1"/>
  <c r="C29" i="3" s="1"/>
  <c r="J10" i="1"/>
  <c r="K10" i="1"/>
  <c r="K9" i="1" s="1"/>
  <c r="K13" i="1" s="1"/>
  <c r="K23" i="1" s="1"/>
  <c r="J9" i="1"/>
  <c r="J13" i="1" s="1"/>
  <c r="I9" i="1"/>
  <c r="I13" i="1" s="1"/>
  <c r="E23" i="1"/>
  <c r="E14" i="1"/>
  <c r="G23" i="1"/>
  <c r="G14" i="1"/>
  <c r="F23" i="1"/>
  <c r="F14" i="1"/>
  <c r="J4" i="1"/>
  <c r="K14" i="1" l="1"/>
  <c r="L14" i="1"/>
  <c r="I23" i="1"/>
  <c r="J23" i="1"/>
  <c r="H14" i="1"/>
  <c r="H23" i="1"/>
  <c r="I14" i="1"/>
  <c r="J14" i="1"/>
  <c r="L4" i="1"/>
  <c r="K4" i="1"/>
  <c r="C13" i="3" l="1"/>
  <c r="C16" i="3" s="1"/>
  <c r="C31" i="3" s="1"/>
  <c r="C32" i="3" s="1"/>
  <c r="C25" i="1" s="1"/>
  <c r="C29" i="1" s="1"/>
  <c r="L23" i="1"/>
  <c r="C31" i="1" l="1"/>
</calcChain>
</file>

<file path=xl/sharedStrings.xml><?xml version="1.0" encoding="utf-8"?>
<sst xmlns="http://schemas.openxmlformats.org/spreadsheetml/2006/main" count="77" uniqueCount="60">
  <si>
    <t>Terminal Year</t>
  </si>
  <si>
    <t>Revenue</t>
  </si>
  <si>
    <t>COGS</t>
  </si>
  <si>
    <t>Gross Income</t>
  </si>
  <si>
    <t>SG&amp;A</t>
  </si>
  <si>
    <t>Other</t>
  </si>
  <si>
    <t>EBIT</t>
  </si>
  <si>
    <t>D&amp;A</t>
  </si>
  <si>
    <t>CapEx</t>
  </si>
  <si>
    <t>UFCF</t>
  </si>
  <si>
    <t>EBITDA</t>
  </si>
  <si>
    <t>DNWC</t>
  </si>
  <si>
    <t>2024E</t>
  </si>
  <si>
    <t>2025E</t>
  </si>
  <si>
    <t>2026E</t>
  </si>
  <si>
    <t>2027E</t>
  </si>
  <si>
    <t>2028E</t>
  </si>
  <si>
    <t>Capital Structure</t>
  </si>
  <si>
    <t>Total Equity</t>
  </si>
  <si>
    <t>Total Debt</t>
  </si>
  <si>
    <t>Total</t>
  </si>
  <si>
    <t>% Equity</t>
  </si>
  <si>
    <t>% Debt</t>
  </si>
  <si>
    <t>Cost of Equity</t>
  </si>
  <si>
    <t>Risk Free Rate</t>
  </si>
  <si>
    <t>Beta</t>
  </si>
  <si>
    <t>Market Risk Premium</t>
  </si>
  <si>
    <t>Cost of Debt</t>
  </si>
  <si>
    <t>Beta (5y Monthly)</t>
  </si>
  <si>
    <t>Tax</t>
  </si>
  <si>
    <t>Debt</t>
  </si>
  <si>
    <t>Equity</t>
  </si>
  <si>
    <t>Unlevered Beta</t>
  </si>
  <si>
    <t>WACC</t>
  </si>
  <si>
    <t>% of Equity</t>
  </si>
  <si>
    <t>% of Debt</t>
  </si>
  <si>
    <t>Tax Rate</t>
  </si>
  <si>
    <t>DCF</t>
  </si>
  <si>
    <t>Deviation</t>
  </si>
  <si>
    <t>FCF GR</t>
  </si>
  <si>
    <t>GDP GR</t>
  </si>
  <si>
    <t>TGR</t>
  </si>
  <si>
    <t>TV</t>
  </si>
  <si>
    <t>Terminal UFCF</t>
  </si>
  <si>
    <t>EV/EBITA 1</t>
  </si>
  <si>
    <t>EV/EBITA 2</t>
  </si>
  <si>
    <t>EV/EBITA 3</t>
  </si>
  <si>
    <t>EV/EBITA 4</t>
  </si>
  <si>
    <t>EV/EBITA 5</t>
  </si>
  <si>
    <t>Avg Multipul</t>
  </si>
  <si>
    <t>TEBITDA</t>
  </si>
  <si>
    <t>Avg EV/EBITDA</t>
  </si>
  <si>
    <t>Terminal Multipule</t>
  </si>
  <si>
    <t xml:space="preserve">Average TV </t>
  </si>
  <si>
    <t>DTV</t>
  </si>
  <si>
    <t>EV</t>
  </si>
  <si>
    <t>Equity Value</t>
  </si>
  <si>
    <t>C&amp;Ces</t>
  </si>
  <si>
    <t>Shares Outstanding</t>
  </si>
  <si>
    <t>Implied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</si>
</sst>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"/>
    <numFmt numFmtId="165" formatCode="_(&quot;$&quot;* #,##0_);_(&quot;$&quot;* \(#,##0\);_(&quot;$&quot;* &quot;-&quot;??_);_(@_)"/>
    <numFmt numFmtId="166" formatCode="0.0%"/>
    <numFmt numFmtId="167" formatCode="0.000%"/>
    <numFmt numFmtId="168" formatCode="0.0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5475B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F5475B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1" xfId="0" applyBorder="1"/>
    <xf numFmtId="164" fontId="2" fillId="0" borderId="4" xfId="0" applyNumberFormat="1" applyFont="1" applyBorder="1" applyAlignment="1">
      <alignment horizontal="right" vertical="center" wrapText="1"/>
    </xf>
    <xf numFmtId="164" fontId="3" fillId="0" borderId="4" xfId="0" applyNumberFormat="1" applyFont="1" applyBorder="1" applyAlignment="1">
      <alignment horizontal="right" vertical="center" wrapText="1"/>
    </xf>
    <xf numFmtId="4" fontId="3" fillId="0" borderId="4" xfId="0" applyNumberFormat="1" applyFont="1" applyBorder="1" applyAlignment="1">
      <alignment horizontal="right" vertical="center" wrapText="1"/>
    </xf>
    <xf numFmtId="3" fontId="3" fillId="0" borderId="4" xfId="0" applyNumberFormat="1" applyFont="1" applyBorder="1" applyAlignment="1">
      <alignment horizontal="right" vertical="center" wrapText="1"/>
    </xf>
    <xf numFmtId="166" fontId="0" fillId="0" borderId="0" xfId="3" applyNumberFormat="1" applyFont="1"/>
    <xf numFmtId="10" fontId="0" fillId="0" borderId="0" xfId="3" applyNumberFormat="1" applyFont="1"/>
    <xf numFmtId="44" fontId="0" fillId="0" borderId="0" xfId="2" applyFont="1"/>
    <xf numFmtId="10" fontId="4" fillId="0" borderId="0" xfId="3" applyNumberFormat="1" applyFont="1"/>
    <xf numFmtId="10" fontId="4" fillId="0" borderId="2" xfId="3" applyNumberFormat="1" applyFont="1" applyBorder="1"/>
    <xf numFmtId="10" fontId="4" fillId="0" borderId="1" xfId="3" applyNumberFormat="1" applyFont="1" applyBorder="1"/>
    <xf numFmtId="44" fontId="4" fillId="0" borderId="0" xfId="0" applyNumberFormat="1" applyFont="1"/>
    <xf numFmtId="0" fontId="4" fillId="0" borderId="0" xfId="0" applyFont="1"/>
    <xf numFmtId="0" fontId="4" fillId="0" borderId="2" xfId="0" applyFont="1" applyBorder="1"/>
    <xf numFmtId="0" fontId="4" fillId="0" borderId="1" xfId="0" applyFont="1" applyBorder="1"/>
    <xf numFmtId="0" fontId="4" fillId="0" borderId="3" xfId="0" applyFont="1" applyBorder="1"/>
    <xf numFmtId="4" fontId="5" fillId="0" borderId="4" xfId="0" applyNumberFormat="1" applyFont="1" applyBorder="1" applyAlignment="1">
      <alignment horizontal="right" vertical="center" wrapText="1"/>
    </xf>
    <xf numFmtId="0" fontId="6" fillId="2" borderId="0" xfId="0" applyFont="1" applyFill="1"/>
    <xf numFmtId="0" fontId="7" fillId="0" borderId="0" xfId="0" applyFont="1"/>
    <xf numFmtId="165" fontId="4" fillId="0" borderId="0" xfId="2" applyNumberFormat="1" applyFont="1"/>
    <xf numFmtId="10" fontId="4" fillId="0" borderId="0" xfId="3" applyNumberFormat="1" applyFont="1" applyBorder="1"/>
    <xf numFmtId="165" fontId="4" fillId="0" borderId="0" xfId="2" applyNumberFormat="1" applyFont="1" applyBorder="1"/>
    <xf numFmtId="165" fontId="4" fillId="0" borderId="2" xfId="2" applyNumberFormat="1" applyFont="1" applyBorder="1"/>
    <xf numFmtId="165" fontId="4" fillId="0" borderId="0" xfId="0" applyNumberFormat="1" applyFont="1"/>
    <xf numFmtId="164" fontId="4" fillId="0" borderId="0" xfId="0" applyNumberFormat="1" applyFont="1"/>
    <xf numFmtId="0" fontId="4" fillId="0" borderId="4" xfId="0" applyFont="1" applyBorder="1"/>
    <xf numFmtId="164" fontId="3" fillId="0" borderId="0" xfId="0" applyNumberFormat="1" applyFont="1" applyAlignment="1">
      <alignment horizontal="right" vertical="center" wrapText="1"/>
    </xf>
    <xf numFmtId="10" fontId="4" fillId="0" borderId="0" xfId="0" applyNumberFormat="1" applyFont="1"/>
    <xf numFmtId="165" fontId="4" fillId="0" borderId="5" xfId="2" applyNumberFormat="1" applyFont="1" applyBorder="1"/>
    <xf numFmtId="10" fontId="4" fillId="0" borderId="6" xfId="3" applyNumberFormat="1" applyFont="1" applyBorder="1"/>
    <xf numFmtId="0" fontId="4" fillId="0" borderId="7" xfId="0" applyFont="1" applyBorder="1"/>
    <xf numFmtId="165" fontId="4" fillId="0" borderId="5" xfId="0" applyNumberFormat="1" applyFont="1" applyBorder="1"/>
    <xf numFmtId="0" fontId="0" fillId="0" borderId="8" xfId="0" applyBorder="1"/>
    <xf numFmtId="165" fontId="0" fillId="0" borderId="0" xfId="2" applyNumberFormat="1" applyFont="1"/>
    <xf numFmtId="165" fontId="0" fillId="0" borderId="0" xfId="0" applyNumberFormat="1"/>
    <xf numFmtId="167" fontId="0" fillId="0" borderId="0" xfId="3" applyNumberFormat="1" applyFont="1"/>
    <xf numFmtId="168" fontId="0" fillId="0" borderId="0" xfId="0" applyNumberFormat="1"/>
    <xf numFmtId="2" fontId="0" fillId="0" borderId="0" xfId="0" applyNumberFormat="1"/>
    <xf numFmtId="167" fontId="0" fillId="0" borderId="1" xfId="3" applyNumberFormat="1" applyFont="1" applyBorder="1"/>
    <xf numFmtId="10" fontId="0" fillId="0" borderId="0" xfId="0" applyNumberFormat="1"/>
    <xf numFmtId="167" fontId="0" fillId="0" borderId="0" xfId="0" applyNumberFormat="1"/>
    <xf numFmtId="166" fontId="0" fillId="0" borderId="0" xfId="0" applyNumberFormat="1"/>
    <xf numFmtId="44" fontId="0" fillId="0" borderId="0" xfId="0" applyNumberFormat="1"/>
    <xf numFmtId="0" fontId="0" fillId="0" borderId="0" xfId="1" applyNumberFormat="1" applyFont="1"/>
    <xf numFmtId="3" fontId="2" fillId="0" borderId="4" xfId="0" applyNumberFormat="1" applyFont="1" applyBorder="1" applyAlignment="1">
      <alignment horizontal="right" vertical="center" wrapText="1"/>
    </xf>
    <xf numFmtId="4" fontId="9" fillId="0" borderId="4" xfId="0" applyNumberFormat="1" applyFont="1" applyBorder="1" applyAlignment="1">
      <alignment horizontal="right" vertical="center" wrapText="1"/>
    </xf>
    <xf numFmtId="164" fontId="9" fillId="0" borderId="4" xfId="0" applyNumberFormat="1" applyFont="1" applyBorder="1" applyAlignment="1">
      <alignment horizontal="right" vertical="center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65C92-1B2A-40C4-A027-4BE81A7E0DBC}">
  <dimension ref="B2:X32"/>
  <sheetViews>
    <sheetView tabSelected="1" zoomScale="63" zoomScaleNormal="170" workbookViewId="0">
      <selection activeCell="R18" sqref="R18"/>
    </sheetView>
  </sheetViews>
  <sheetFormatPr defaultColWidth="8.81640625" defaultRowHeight="13" x14ac:dyDescent="0.3"/>
  <cols>
    <col min="1" max="1" width="1.453125" style="13" customWidth="1"/>
    <col min="2" max="2" width="21.81640625" style="13" bestFit="1" customWidth="1"/>
    <col min="3" max="3" width="13.36328125" style="13" bestFit="1" customWidth="1"/>
    <col min="4" max="6" width="11" style="13" bestFit="1" customWidth="1"/>
    <col min="7" max="7" width="11.1796875" style="13" bestFit="1" customWidth="1"/>
    <col min="8" max="8" width="13" style="13" bestFit="1" customWidth="1"/>
    <col min="9" max="9" width="10.453125" style="13" bestFit="1" customWidth="1"/>
    <col min="10" max="10" width="11" style="13" bestFit="1" customWidth="1"/>
    <col min="11" max="11" width="10.1796875" style="13" bestFit="1" customWidth="1"/>
    <col min="12" max="12" width="12.6328125" style="13" bestFit="1" customWidth="1"/>
    <col min="13" max="13" width="15.453125" style="13" bestFit="1" customWidth="1"/>
    <col min="14" max="16384" width="8.81640625" style="13"/>
  </cols>
  <sheetData>
    <row r="2" spans="2:19" x14ac:dyDescent="0.3">
      <c r="C2" s="18">
        <v>2019</v>
      </c>
      <c r="D2" s="18">
        <v>2020</v>
      </c>
      <c r="E2" s="18">
        <v>2021</v>
      </c>
      <c r="F2" s="18">
        <v>2022</v>
      </c>
      <c r="G2" s="18">
        <v>2023</v>
      </c>
      <c r="H2" s="18" t="s">
        <v>12</v>
      </c>
      <c r="I2" s="18" t="s">
        <v>13</v>
      </c>
      <c r="J2" s="18" t="s">
        <v>14</v>
      </c>
      <c r="K2" s="18" t="s">
        <v>15</v>
      </c>
      <c r="L2" s="18" t="s">
        <v>16</v>
      </c>
      <c r="M2" s="18" t="s">
        <v>0</v>
      </c>
    </row>
    <row r="3" spans="2:19" x14ac:dyDescent="0.3">
      <c r="B3" s="19" t="s">
        <v>1</v>
      </c>
      <c r="C3" s="45">
        <v>10187</v>
      </c>
      <c r="D3" s="45">
        <v>14852</v>
      </c>
      <c r="E3" s="45">
        <v>16226</v>
      </c>
      <c r="F3" s="45">
        <v>17536</v>
      </c>
      <c r="G3" s="45">
        <v>18915</v>
      </c>
      <c r="H3" s="24">
        <f>$G$3*(1+$N$3)^1</f>
        <v>21407.125420455101</v>
      </c>
      <c r="I3" s="24">
        <f>$G$3*(1+$N$3)^2</f>
        <v>24227.598137303459</v>
      </c>
      <c r="J3" s="24">
        <f>$G$3*(1+$N$3)^3</f>
        <v>27419.679194376924</v>
      </c>
      <c r="K3" s="24">
        <f>$G$3*(1+$N$3)^4</f>
        <v>31032.329447669574</v>
      </c>
      <c r="L3" s="24">
        <f>$G$3*(1+$N$3)^5</f>
        <v>35120.960537940504</v>
      </c>
      <c r="N3" s="9">
        <f>(G3/C3)^(1/5)-1</f>
        <v>0.13175392125060004</v>
      </c>
    </row>
    <row r="4" spans="2:19" x14ac:dyDescent="0.3">
      <c r="D4" s="9">
        <f>(D3-C3)/C3</f>
        <v>0.45793658584470404</v>
      </c>
      <c r="E4" s="9">
        <f>(E3-D3)/D3</f>
        <v>9.2512792889846485E-2</v>
      </c>
      <c r="F4" s="9">
        <f t="shared" ref="F4:G4" si="0">(F3-E3)/E3</f>
        <v>8.0734623443855541E-2</v>
      </c>
      <c r="G4" s="10">
        <f t="shared" si="0"/>
        <v>7.8638229927007294E-2</v>
      </c>
      <c r="H4" s="9">
        <f>(H3-G3)/H3</f>
        <v>0.11641569671347866</v>
      </c>
      <c r="I4" s="9">
        <f t="shared" ref="I4:L4" si="1">(I3-H3)/I3</f>
        <v>0.11641569671347861</v>
      </c>
      <c r="J4" s="9">
        <f t="shared" si="1"/>
        <v>0.11641569671347865</v>
      </c>
      <c r="K4" s="9">
        <f t="shared" si="1"/>
        <v>0.11641569671347853</v>
      </c>
      <c r="L4" s="9">
        <f t="shared" si="1"/>
        <v>0.11641569671347855</v>
      </c>
    </row>
    <row r="5" spans="2:19" x14ac:dyDescent="0.3">
      <c r="B5" s="19" t="s">
        <v>2</v>
      </c>
      <c r="C5" s="2">
        <v>5261</v>
      </c>
      <c r="D5" s="2">
        <v>7812</v>
      </c>
      <c r="E5" s="2">
        <v>8128</v>
      </c>
      <c r="F5" s="2">
        <v>7992</v>
      </c>
      <c r="G5" s="2">
        <v>7670</v>
      </c>
      <c r="H5" s="24">
        <f>$N$5</f>
        <v>7372.6</v>
      </c>
      <c r="I5" s="24">
        <f t="shared" ref="I5:L5" si="2">$N$5</f>
        <v>7372.6</v>
      </c>
      <c r="J5" s="24">
        <f t="shared" si="2"/>
        <v>7372.6</v>
      </c>
      <c r="K5" s="24">
        <f t="shared" si="2"/>
        <v>7372.6</v>
      </c>
      <c r="L5" s="24">
        <f t="shared" si="2"/>
        <v>7372.6</v>
      </c>
      <c r="N5" s="24">
        <f>AVERAGE($C$5:$G$5)</f>
        <v>7372.6</v>
      </c>
    </row>
    <row r="6" spans="2:19" ht="13.5" thickBot="1" x14ac:dyDescent="0.35">
      <c r="B6" s="15"/>
      <c r="C6" s="11">
        <f>C5/C3</f>
        <v>0.51644252478649255</v>
      </c>
      <c r="D6" s="11">
        <f t="shared" ref="D6:G6" si="3">D5/D3</f>
        <v>0.52598976568812283</v>
      </c>
      <c r="E6" s="11">
        <f t="shared" si="3"/>
        <v>0.5009244422531739</v>
      </c>
      <c r="F6" s="11">
        <f t="shared" si="3"/>
        <v>0.45574817518248173</v>
      </c>
      <c r="G6" s="11">
        <f t="shared" si="3"/>
        <v>0.40549828178694158</v>
      </c>
      <c r="H6" s="11">
        <f t="shared" ref="H6" si="4">H5/H3</f>
        <v>0.3443993462548352</v>
      </c>
      <c r="I6" s="11">
        <f t="shared" ref="I6" si="5">I5/I3</f>
        <v>0.30430585641291197</v>
      </c>
      <c r="J6" s="11">
        <f t="shared" ref="J6" si="6">J5/J3</f>
        <v>0.26887987812461106</v>
      </c>
      <c r="K6" s="11">
        <f t="shared" ref="K6" si="7">K5/K3</f>
        <v>0.23757803978049924</v>
      </c>
      <c r="L6" s="11">
        <f t="shared" ref="L6" si="8">L5/L3</f>
        <v>0.20992022675562991</v>
      </c>
      <c r="M6" s="15"/>
      <c r="N6" s="28"/>
    </row>
    <row r="7" spans="2:19" ht="13.5" thickTop="1" x14ac:dyDescent="0.3">
      <c r="B7" s="19" t="s">
        <v>3</v>
      </c>
      <c r="C7" s="20">
        <f>C3-C5</f>
        <v>4926</v>
      </c>
      <c r="D7" s="20">
        <f t="shared" ref="D7:L7" si="9">D3-D5</f>
        <v>7040</v>
      </c>
      <c r="E7" s="20">
        <f t="shared" si="9"/>
        <v>8098</v>
      </c>
      <c r="F7" s="20">
        <f t="shared" si="9"/>
        <v>9544</v>
      </c>
      <c r="G7" s="22">
        <f t="shared" si="9"/>
        <v>11245</v>
      </c>
      <c r="H7" s="29">
        <f t="shared" si="9"/>
        <v>14034.5254204551</v>
      </c>
      <c r="I7" s="22">
        <f t="shared" si="9"/>
        <v>16854.998137303461</v>
      </c>
      <c r="J7" s="22">
        <f t="shared" si="9"/>
        <v>20047.079194376922</v>
      </c>
      <c r="K7" s="22">
        <f t="shared" si="9"/>
        <v>23659.729447669575</v>
      </c>
      <c r="L7" s="22">
        <f t="shared" si="9"/>
        <v>27748.360537940505</v>
      </c>
    </row>
    <row r="8" spans="2:19" x14ac:dyDescent="0.3">
      <c r="C8" s="9">
        <f>C7/C3</f>
        <v>0.48355747521350739</v>
      </c>
      <c r="D8" s="9">
        <f t="shared" ref="D8:G8" si="10">D7/D3</f>
        <v>0.47401023431187717</v>
      </c>
      <c r="E8" s="9">
        <f t="shared" si="10"/>
        <v>0.4990755577468261</v>
      </c>
      <c r="F8" s="9">
        <f t="shared" si="10"/>
        <v>0.54425182481751821</v>
      </c>
      <c r="G8" s="21">
        <f t="shared" si="10"/>
        <v>0.59450171821305842</v>
      </c>
      <c r="H8" s="30">
        <f t="shared" ref="H8" si="11">H7/H3</f>
        <v>0.65560065374516485</v>
      </c>
      <c r="I8" s="21">
        <f t="shared" ref="I8" si="12">I7/I3</f>
        <v>0.69569414358708814</v>
      </c>
      <c r="J8" s="21">
        <f t="shared" ref="J8" si="13">J7/J3</f>
        <v>0.73112012187538888</v>
      </c>
      <c r="K8" s="21">
        <f t="shared" ref="K8" si="14">K7/K3</f>
        <v>0.76242196021950082</v>
      </c>
      <c r="L8" s="21">
        <f t="shared" ref="L8" si="15">L7/L3</f>
        <v>0.79007977324437018</v>
      </c>
    </row>
    <row r="9" spans="2:19" x14ac:dyDescent="0.3">
      <c r="B9" s="19" t="s">
        <v>4</v>
      </c>
      <c r="C9" s="2">
        <v>3284</v>
      </c>
      <c r="D9" s="2">
        <v>5528</v>
      </c>
      <c r="E9" s="2">
        <v>5795</v>
      </c>
      <c r="F9" s="2">
        <v>6045</v>
      </c>
      <c r="G9" s="2">
        <v>6576</v>
      </c>
      <c r="H9" s="24">
        <f t="shared" ref="H9:K9" si="16">H7*H10</f>
        <v>9503.2773605412658</v>
      </c>
      <c r="I9" s="24">
        <f t="shared" si="16"/>
        <v>11413.119960347551</v>
      </c>
      <c r="J9" s="24">
        <f t="shared" si="16"/>
        <v>13574.591811649749</v>
      </c>
      <c r="K9" s="24">
        <f t="shared" si="16"/>
        <v>16020.84605503381</v>
      </c>
      <c r="L9" s="24">
        <f>L7*L10</f>
        <v>18789.403887359636</v>
      </c>
    </row>
    <row r="10" spans="2:19" x14ac:dyDescent="0.3">
      <c r="C10" s="9">
        <f>C9/C7</f>
        <v>0.66666666666666663</v>
      </c>
      <c r="D10" s="9">
        <f t="shared" ref="D10:G11" si="17">D9/D7</f>
        <v>0.78522727272727277</v>
      </c>
      <c r="E10" s="9">
        <f t="shared" si="17"/>
        <v>0.71560879229439367</v>
      </c>
      <c r="F10" s="9">
        <f t="shared" si="17"/>
        <v>0.63338222967309299</v>
      </c>
      <c r="G10" s="10">
        <f t="shared" si="17"/>
        <v>0.58479324144064027</v>
      </c>
      <c r="H10" s="28">
        <f>$N$10</f>
        <v>0.6771356405604132</v>
      </c>
      <c r="I10" s="28">
        <f t="shared" ref="I10:L10" si="18">$N$10</f>
        <v>0.6771356405604132</v>
      </c>
      <c r="J10" s="28">
        <f t="shared" si="18"/>
        <v>0.6771356405604132</v>
      </c>
      <c r="K10" s="28">
        <f t="shared" si="18"/>
        <v>0.6771356405604132</v>
      </c>
      <c r="L10" s="28">
        <f t="shared" si="18"/>
        <v>0.6771356405604132</v>
      </c>
      <c r="N10" s="28">
        <f>AVERAGE($C$10:$G$10)</f>
        <v>0.6771356405604132</v>
      </c>
    </row>
    <row r="11" spans="2:19" x14ac:dyDescent="0.3">
      <c r="B11" s="19" t="s">
        <v>5</v>
      </c>
      <c r="C11" s="46">
        <v>-89</v>
      </c>
      <c r="D11" s="47">
        <v>-434</v>
      </c>
      <c r="E11" s="47">
        <v>-213</v>
      </c>
      <c r="F11" s="47">
        <v>-187</v>
      </c>
      <c r="G11" s="45"/>
      <c r="H11" s="24">
        <f>$N$11</f>
        <v>-230.75</v>
      </c>
      <c r="I11" s="24">
        <f t="shared" ref="I11:L11" si="19">$N$11</f>
        <v>-230.75</v>
      </c>
      <c r="J11" s="24">
        <f t="shared" si="19"/>
        <v>-230.75</v>
      </c>
      <c r="K11" s="24">
        <f t="shared" si="19"/>
        <v>-230.75</v>
      </c>
      <c r="L11" s="24">
        <f t="shared" si="19"/>
        <v>-230.75</v>
      </c>
      <c r="N11" s="24">
        <f>AVERAGE($C$11:$G$11)</f>
        <v>-230.75</v>
      </c>
    </row>
    <row r="12" spans="2:19" ht="13.5" thickBot="1" x14ac:dyDescent="0.35">
      <c r="B12" s="15"/>
      <c r="C12" s="15"/>
      <c r="D12" s="15"/>
      <c r="E12" s="15"/>
      <c r="F12" s="15"/>
      <c r="G12" s="16"/>
      <c r="H12" s="31"/>
      <c r="I12" s="15"/>
      <c r="J12" s="15"/>
      <c r="K12" s="15"/>
      <c r="L12" s="15"/>
      <c r="M12" s="15"/>
    </row>
    <row r="13" spans="2:19" ht="13.5" thickTop="1" x14ac:dyDescent="0.3">
      <c r="B13" s="19" t="s">
        <v>6</v>
      </c>
      <c r="C13" s="24">
        <f>C7-C9-C11</f>
        <v>1731</v>
      </c>
      <c r="D13" s="24">
        <f t="shared" ref="D13:L13" si="20">D7-D9-D11</f>
        <v>1946</v>
      </c>
      <c r="E13" s="24">
        <f t="shared" si="20"/>
        <v>2516</v>
      </c>
      <c r="F13" s="24">
        <f t="shared" si="20"/>
        <v>3686</v>
      </c>
      <c r="G13" s="24">
        <f t="shared" si="20"/>
        <v>4669</v>
      </c>
      <c r="H13" s="32">
        <f>H7-H9-H11</f>
        <v>4761.9980599138344</v>
      </c>
      <c r="I13" s="24">
        <f t="shared" si="20"/>
        <v>5672.62817695591</v>
      </c>
      <c r="J13" s="24">
        <f t="shared" si="20"/>
        <v>6703.2373827271731</v>
      </c>
      <c r="K13" s="24">
        <f t="shared" si="20"/>
        <v>7869.6333926357656</v>
      </c>
      <c r="L13" s="24">
        <f t="shared" si="20"/>
        <v>9189.7066505808689</v>
      </c>
    </row>
    <row r="14" spans="2:19" x14ac:dyDescent="0.3">
      <c r="C14" s="9">
        <f>C13/C3</f>
        <v>0.16992245018160401</v>
      </c>
      <c r="D14" s="9">
        <f t="shared" ref="D14:G15" si="21">D13/D3</f>
        <v>0.13102612442768652</v>
      </c>
      <c r="E14" s="9">
        <f t="shared" si="21"/>
        <v>0.15505978059903858</v>
      </c>
      <c r="F14" s="9">
        <f t="shared" si="21"/>
        <v>0.21019616788321169</v>
      </c>
      <c r="G14" s="21">
        <f t="shared" si="21"/>
        <v>0.24684113137721386</v>
      </c>
      <c r="H14" s="30">
        <f t="shared" ref="H14" si="22">H13/H3</f>
        <v>0.22244920634526733</v>
      </c>
      <c r="I14" s="21">
        <f t="shared" ref="I14" si="23">I13/I3</f>
        <v>0.23413910635333313</v>
      </c>
      <c r="J14" s="21">
        <f t="shared" ref="J14" si="24">J13/J3</f>
        <v>0.24446811850744907</v>
      </c>
      <c r="K14" s="21">
        <f t="shared" ref="K14" si="25">K13/K3</f>
        <v>0.25359467151528159</v>
      </c>
      <c r="L14" s="21">
        <f t="shared" ref="L14" si="26">L13/L3</f>
        <v>0.26165875049611481</v>
      </c>
      <c r="O14" s="2"/>
      <c r="P14" s="2"/>
      <c r="Q14" s="2"/>
      <c r="R14" s="2"/>
      <c r="S14" s="2"/>
    </row>
    <row r="15" spans="2:19" ht="14.5" x14ac:dyDescent="0.35">
      <c r="B15" s="19" t="s">
        <v>7</v>
      </c>
      <c r="C15" s="34">
        <v>1778</v>
      </c>
      <c r="D15" s="34">
        <v>3257</v>
      </c>
      <c r="E15" s="34">
        <v>3258</v>
      </c>
      <c r="F15" s="34">
        <v>3212</v>
      </c>
      <c r="G15" s="34">
        <v>3162</v>
      </c>
      <c r="H15" s="24">
        <f>$N$15</f>
        <v>2933.4</v>
      </c>
      <c r="I15" s="24">
        <f t="shared" ref="I15:L15" si="27">$N$15</f>
        <v>2933.4</v>
      </c>
      <c r="J15" s="24">
        <f t="shared" si="27"/>
        <v>2933.4</v>
      </c>
      <c r="K15" s="24">
        <f t="shared" si="27"/>
        <v>2933.4</v>
      </c>
      <c r="L15" s="24">
        <f t="shared" si="27"/>
        <v>2933.4</v>
      </c>
      <c r="N15" s="24">
        <f>AVERAGE(C15:G15)</f>
        <v>2933.4</v>
      </c>
    </row>
    <row r="16" spans="2:19" x14ac:dyDescent="0.3">
      <c r="G16" s="14"/>
    </row>
    <row r="17" spans="2:24" x14ac:dyDescent="0.3">
      <c r="B17" s="19" t="s">
        <v>11</v>
      </c>
      <c r="C17" s="20">
        <v>173</v>
      </c>
      <c r="D17" s="20">
        <v>511</v>
      </c>
      <c r="E17" s="20">
        <v>-7</v>
      </c>
      <c r="F17" s="20">
        <v>-737</v>
      </c>
      <c r="G17" s="23">
        <v>1105</v>
      </c>
      <c r="H17" s="24">
        <f>$N$17</f>
        <v>173</v>
      </c>
      <c r="I17" s="24">
        <f t="shared" ref="I17:L17" si="28">$N$17</f>
        <v>173</v>
      </c>
      <c r="J17" s="24">
        <f t="shared" si="28"/>
        <v>173</v>
      </c>
      <c r="K17" s="24">
        <f t="shared" si="28"/>
        <v>173</v>
      </c>
      <c r="L17" s="24">
        <f t="shared" si="28"/>
        <v>173</v>
      </c>
      <c r="N17" s="24">
        <f>MEDIAN(C17:G17)</f>
        <v>173</v>
      </c>
    </row>
    <row r="18" spans="2:24" x14ac:dyDescent="0.3">
      <c r="G18" s="14"/>
    </row>
    <row r="19" spans="2:24" x14ac:dyDescent="0.3">
      <c r="B19" s="19" t="s">
        <v>8</v>
      </c>
      <c r="C19" s="2">
        <v>1154</v>
      </c>
      <c r="D19" s="2">
        <v>1233</v>
      </c>
      <c r="E19" s="2">
        <v>1160</v>
      </c>
      <c r="F19" s="2">
        <v>900</v>
      </c>
      <c r="G19" s="2">
        <v>721</v>
      </c>
      <c r="H19" s="24">
        <f>$G$19*(1+$N$19)^1</f>
        <v>656.26789055237305</v>
      </c>
      <c r="I19" s="24">
        <f>$G$19*(1+$N$19)^2</f>
        <v>597.34749538150004</v>
      </c>
      <c r="J19" s="24">
        <f>$G$19*(1+$N$19)^3</f>
        <v>543.71703289980655</v>
      </c>
      <c r="K19" s="24">
        <f>$G$19*(1+$N$19)^4</f>
        <v>494.90156759854545</v>
      </c>
      <c r="L19" s="24">
        <f>$G$19*(1+$N$19)^5</f>
        <v>450.46880415944537</v>
      </c>
      <c r="N19" s="9">
        <f>(G19/C19)^(1/5)-1</f>
        <v>-8.9781011716542181E-2</v>
      </c>
    </row>
    <row r="20" spans="2:24" ht="13.5" thickBot="1" x14ac:dyDescent="0.35">
      <c r="B20" s="15"/>
      <c r="C20" s="15"/>
      <c r="D20" s="15"/>
      <c r="E20" s="15"/>
      <c r="F20" s="15"/>
      <c r="G20" s="16"/>
      <c r="H20" s="15"/>
      <c r="I20" s="15"/>
      <c r="J20" s="15"/>
      <c r="K20" s="15"/>
      <c r="L20" s="15"/>
      <c r="M20" s="15"/>
    </row>
    <row r="21" spans="2:24" ht="13.5" thickTop="1" x14ac:dyDescent="0.3">
      <c r="B21" s="19" t="s">
        <v>9</v>
      </c>
      <c r="C21" s="24">
        <f t="shared" ref="C21:L21" si="29">C13+C15-C17-C19</f>
        <v>2182</v>
      </c>
      <c r="D21" s="24">
        <f t="shared" si="29"/>
        <v>3459</v>
      </c>
      <c r="E21" s="24">
        <f t="shared" si="29"/>
        <v>4621</v>
      </c>
      <c r="F21" s="24">
        <f t="shared" si="29"/>
        <v>6735</v>
      </c>
      <c r="G21" s="24">
        <f t="shared" si="29"/>
        <v>6005</v>
      </c>
      <c r="H21" s="24">
        <f t="shared" si="29"/>
        <v>6866.1301693614605</v>
      </c>
      <c r="I21" s="24">
        <f t="shared" si="29"/>
        <v>7835.6806815744094</v>
      </c>
      <c r="J21" s="24">
        <f t="shared" si="29"/>
        <v>8919.9203498273655</v>
      </c>
      <c r="K21" s="24">
        <f t="shared" si="29"/>
        <v>10135.131825037221</v>
      </c>
      <c r="L21" s="24">
        <f t="shared" si="29"/>
        <v>11499.637846421423</v>
      </c>
      <c r="M21" s="24"/>
      <c r="T21" s="45"/>
      <c r="U21" s="45"/>
      <c r="V21" s="45"/>
      <c r="W21" s="45"/>
      <c r="X21" s="45"/>
    </row>
    <row r="22" spans="2:24" x14ac:dyDescent="0.3">
      <c r="B22" s="19" t="s">
        <v>10</v>
      </c>
      <c r="M22" s="24">
        <f>L13+L15</f>
        <v>12123.106650580869</v>
      </c>
      <c r="T22" s="2"/>
      <c r="U22" s="2"/>
      <c r="V22" s="2"/>
      <c r="W22" s="2"/>
      <c r="X22" s="2"/>
    </row>
    <row r="23" spans="2:24" x14ac:dyDescent="0.3">
      <c r="B23" s="19" t="s">
        <v>37</v>
      </c>
      <c r="C23" s="12">
        <f>C21*(1+WACC!$K$29)^4</f>
        <v>2835.3947346003097</v>
      </c>
      <c r="D23" s="12">
        <f>D21*(1+WACC!$K$29)^3</f>
        <v>4209.8793408597439</v>
      </c>
      <c r="E23" s="12">
        <f>E21*(1+WACC!$K$29)^2</f>
        <v>5267.6311798999659</v>
      </c>
      <c r="F23" s="12">
        <f>F21*(1+WACC!$K$29)^1</f>
        <v>7190.8014219013403</v>
      </c>
      <c r="G23" s="24">
        <f>G21</f>
        <v>6005</v>
      </c>
      <c r="H23" s="12">
        <f>H21/(1+WACC!$K$29)^1</f>
        <v>6430.9085980046566</v>
      </c>
      <c r="I23" s="12">
        <f>I21/(1+WACC!$K$29)^2</f>
        <v>6873.8070667739803</v>
      </c>
      <c r="J23" s="12">
        <f>J21/(1+WACC!$K$29)^3</f>
        <v>7328.9522078682267</v>
      </c>
      <c r="K23" s="12">
        <f>K21/(1+WACC!$K$29)^4</f>
        <v>7799.5692706781538</v>
      </c>
      <c r="L23" s="12">
        <f>L21/(1+WACC!$K$29)^5</f>
        <v>8288.6859632145897</v>
      </c>
      <c r="T23" s="2"/>
      <c r="U23" s="2"/>
      <c r="V23" s="2"/>
      <c r="W23" s="2"/>
      <c r="X23" s="2"/>
    </row>
    <row r="24" spans="2:24" x14ac:dyDescent="0.3">
      <c r="N24" s="9"/>
      <c r="T24" s="46"/>
      <c r="U24" s="47"/>
      <c r="V24" s="47"/>
      <c r="W24" s="47"/>
      <c r="X24" s="45"/>
    </row>
    <row r="25" spans="2:24" x14ac:dyDescent="0.3">
      <c r="B25" s="19" t="s">
        <v>55</v>
      </c>
      <c r="C25" s="24">
        <f>SUM(C23:L23)+'TGR &amp; TV'!C32</f>
        <v>214349.37915288931</v>
      </c>
    </row>
    <row r="26" spans="2:24" x14ac:dyDescent="0.3">
      <c r="B26" s="19" t="s">
        <v>30</v>
      </c>
      <c r="C26" s="20">
        <f>WACC!C5</f>
        <v>25285</v>
      </c>
    </row>
    <row r="27" spans="2:24" x14ac:dyDescent="0.3">
      <c r="B27" s="19" t="s">
        <v>57</v>
      </c>
      <c r="C27" s="20">
        <v>2960</v>
      </c>
    </row>
    <row r="28" spans="2:24" x14ac:dyDescent="0.3">
      <c r="H28" s="5"/>
      <c r="I28" s="5"/>
      <c r="J28" s="5"/>
      <c r="K28" s="5"/>
    </row>
    <row r="29" spans="2:24" x14ac:dyDescent="0.3">
      <c r="B29" s="19" t="s">
        <v>56</v>
      </c>
      <c r="C29" s="24">
        <f>C25-C26+C27</f>
        <v>192024.37915288931</v>
      </c>
      <c r="G29" s="3"/>
      <c r="H29" s="3"/>
      <c r="I29" s="3"/>
      <c r="J29" s="3"/>
      <c r="K29" s="3"/>
      <c r="P29" s="3"/>
      <c r="Q29" s="3"/>
      <c r="R29" s="3"/>
      <c r="S29" s="3"/>
      <c r="T29" s="3"/>
    </row>
    <row r="30" spans="2:24" x14ac:dyDescent="0.3">
      <c r="B30" s="19" t="s">
        <v>58</v>
      </c>
      <c r="C30" s="13">
        <v>534.9</v>
      </c>
      <c r="G30" s="3"/>
      <c r="H30" s="3"/>
      <c r="I30" s="26"/>
      <c r="J30" s="26"/>
      <c r="K30" s="3"/>
      <c r="L30" s="27"/>
      <c r="M30" s="27"/>
      <c r="P30" s="3"/>
      <c r="Q30" s="4"/>
      <c r="R30" s="4"/>
      <c r="S30" s="3"/>
      <c r="T30" s="3"/>
    </row>
    <row r="31" spans="2:24" x14ac:dyDescent="0.3">
      <c r="B31" s="13" t="s">
        <v>59</v>
      </c>
      <c r="C31" s="12">
        <f>C29/C30</f>
        <v>358.99117433705237</v>
      </c>
      <c r="G31" s="17"/>
      <c r="H31" s="2"/>
      <c r="I31" s="2"/>
      <c r="J31" s="2"/>
      <c r="K31" s="2"/>
      <c r="L31" s="2"/>
      <c r="M31" s="2"/>
      <c r="P31" s="4"/>
      <c r="Q31" s="4"/>
      <c r="R31" s="4"/>
      <c r="S31" s="4"/>
      <c r="T31" s="4"/>
    </row>
    <row r="32" spans="2:24" x14ac:dyDescent="0.3">
      <c r="I32" s="25"/>
      <c r="J32" s="25"/>
      <c r="K32" s="25"/>
      <c r="L32" s="25"/>
      <c r="M32" s="25"/>
      <c r="P32" s="5"/>
      <c r="Q32" s="5"/>
      <c r="R32" s="5"/>
      <c r="S32" s="3"/>
      <c r="T32" s="3"/>
    </row>
  </sheetData>
  <sortState xmlns:xlrd2="http://schemas.microsoft.com/office/spreadsheetml/2017/richdata2" columnSort="1" ref="O13:S14">
    <sortCondition ref="O13:S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5A86B-9BEA-470F-8138-912726C306CD}">
  <dimension ref="B2:C32"/>
  <sheetViews>
    <sheetView topLeftCell="A28" zoomScale="70" zoomScaleNormal="70" workbookViewId="0">
      <selection activeCell="B22" sqref="B22:C23"/>
    </sheetView>
  </sheetViews>
  <sheetFormatPr defaultColWidth="8.81640625" defaultRowHeight="14.5" x14ac:dyDescent="0.35"/>
  <cols>
    <col min="2" max="2" width="16.1796875" bestFit="1" customWidth="1"/>
    <col min="3" max="3" width="13.1796875" bestFit="1" customWidth="1"/>
  </cols>
  <sheetData>
    <row r="2" spans="2:3" x14ac:dyDescent="0.35">
      <c r="B2" s="33" t="s">
        <v>38</v>
      </c>
      <c r="C2" s="33"/>
    </row>
    <row r="3" spans="2:3" x14ac:dyDescent="0.35">
      <c r="B3" t="s">
        <v>39</v>
      </c>
      <c r="C3" s="6">
        <v>0.04</v>
      </c>
    </row>
    <row r="4" spans="2:3" x14ac:dyDescent="0.35">
      <c r="B4" t="s">
        <v>40</v>
      </c>
      <c r="C4" s="6">
        <v>2.8000000000000001E-2</v>
      </c>
    </row>
    <row r="5" spans="2:3" x14ac:dyDescent="0.35">
      <c r="B5" t="s">
        <v>38</v>
      </c>
      <c r="C5" s="42">
        <f>C3-C4</f>
        <v>1.2E-2</v>
      </c>
    </row>
    <row r="7" spans="2:3" x14ac:dyDescent="0.35">
      <c r="B7" s="33" t="s">
        <v>41</v>
      </c>
      <c r="C7" s="33"/>
    </row>
    <row r="8" spans="2:3" x14ac:dyDescent="0.35">
      <c r="B8" t="s">
        <v>40</v>
      </c>
      <c r="C8" s="6">
        <f>C4</f>
        <v>2.8000000000000001E-2</v>
      </c>
    </row>
    <row r="9" spans="2:3" x14ac:dyDescent="0.35">
      <c r="B9" t="s">
        <v>38</v>
      </c>
      <c r="C9" s="6">
        <f>C5</f>
        <v>1.2E-2</v>
      </c>
    </row>
    <row r="10" spans="2:3" x14ac:dyDescent="0.35">
      <c r="B10" t="s">
        <v>41</v>
      </c>
      <c r="C10" s="42">
        <f>C8-C9</f>
        <v>1.6E-2</v>
      </c>
    </row>
    <row r="12" spans="2:3" x14ac:dyDescent="0.35">
      <c r="B12" s="33" t="s">
        <v>42</v>
      </c>
      <c r="C12" s="33"/>
    </row>
    <row r="13" spans="2:3" x14ac:dyDescent="0.35">
      <c r="B13" t="s">
        <v>43</v>
      </c>
      <c r="C13" s="8">
        <f>DCF!L21</f>
        <v>11499.637846421423</v>
      </c>
    </row>
    <row r="14" spans="2:3" x14ac:dyDescent="0.35">
      <c r="B14" t="s">
        <v>41</v>
      </c>
      <c r="C14" s="42">
        <f>C10</f>
        <v>1.6E-2</v>
      </c>
    </row>
    <row r="15" spans="2:3" x14ac:dyDescent="0.35">
      <c r="B15" t="s">
        <v>33</v>
      </c>
      <c r="C15" s="44">
        <f>WACC!K29</f>
        <v>6.7676528864341556E-2</v>
      </c>
    </row>
    <row r="16" spans="2:3" x14ac:dyDescent="0.35">
      <c r="B16" t="s">
        <v>42</v>
      </c>
      <c r="C16" s="43">
        <f>(C13*(1+C14)/(C15-C14))</f>
        <v>226091.65725189107</v>
      </c>
    </row>
    <row r="18" spans="2:3" x14ac:dyDescent="0.35">
      <c r="B18" s="33" t="s">
        <v>52</v>
      </c>
      <c r="C18" s="33"/>
    </row>
    <row r="19" spans="2:3" x14ac:dyDescent="0.35">
      <c r="B19" t="s">
        <v>44</v>
      </c>
      <c r="C19" s="38">
        <v>30.011904198698993</v>
      </c>
    </row>
    <row r="20" spans="2:3" x14ac:dyDescent="0.35">
      <c r="B20" t="s">
        <v>45</v>
      </c>
      <c r="C20" s="38">
        <v>19.299097774244832</v>
      </c>
    </row>
    <row r="21" spans="2:3" x14ac:dyDescent="0.35">
      <c r="B21" t="s">
        <v>46</v>
      </c>
      <c r="C21" s="38">
        <v>16.167829917295936</v>
      </c>
    </row>
    <row r="22" spans="2:3" x14ac:dyDescent="0.35">
      <c r="B22" t="s">
        <v>47</v>
      </c>
      <c r="C22" s="38">
        <v>12.804293624663273</v>
      </c>
    </row>
    <row r="23" spans="2:3" x14ac:dyDescent="0.35">
      <c r="B23" t="s">
        <v>48</v>
      </c>
      <c r="C23" s="38">
        <v>13.258547728768926</v>
      </c>
    </row>
    <row r="24" spans="2:3" x14ac:dyDescent="0.35">
      <c r="B24" t="s">
        <v>49</v>
      </c>
      <c r="C24" s="38">
        <f>MEDIAN(C19:C23)</f>
        <v>16.167829917295936</v>
      </c>
    </row>
    <row r="26" spans="2:3" x14ac:dyDescent="0.35">
      <c r="B26" s="33" t="s">
        <v>42</v>
      </c>
      <c r="C26" s="33"/>
    </row>
    <row r="27" spans="2:3" x14ac:dyDescent="0.35">
      <c r="B27" t="s">
        <v>50</v>
      </c>
      <c r="C27" s="34">
        <f>DCF!M22</f>
        <v>12123.106650580869</v>
      </c>
    </row>
    <row r="28" spans="2:3" x14ac:dyDescent="0.35">
      <c r="B28" t="s">
        <v>51</v>
      </c>
      <c r="C28" s="38">
        <f>C24</f>
        <v>16.167829917295936</v>
      </c>
    </row>
    <row r="29" spans="2:3" x14ac:dyDescent="0.35">
      <c r="B29" t="s">
        <v>42</v>
      </c>
      <c r="C29" s="43">
        <f>C27*C28</f>
        <v>196004.32639583069</v>
      </c>
    </row>
    <row r="31" spans="2:3" x14ac:dyDescent="0.35">
      <c r="B31" t="s">
        <v>53</v>
      </c>
      <c r="C31" s="43">
        <f>AVERAGE(C29,C16)</f>
        <v>211047.99182386088</v>
      </c>
    </row>
    <row r="32" spans="2:3" x14ac:dyDescent="0.35">
      <c r="B32" t="s">
        <v>54</v>
      </c>
      <c r="C32" s="43">
        <f>C31/((1+WACC!$K$29)^5)</f>
        <v>152118.74936908833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764B7-B4CA-432D-91CC-930D04901B4D}">
  <dimension ref="B2:K29"/>
  <sheetViews>
    <sheetView zoomScale="55" zoomScaleNormal="55" workbookViewId="0">
      <selection activeCell="C3" sqref="C3"/>
    </sheetView>
  </sheetViews>
  <sheetFormatPr defaultColWidth="8.81640625" defaultRowHeight="14.5" x14ac:dyDescent="0.35"/>
  <cols>
    <col min="2" max="2" width="16.81640625" bestFit="1" customWidth="1"/>
    <col min="3" max="3" width="19.1796875" customWidth="1"/>
    <col min="4" max="4" width="8.1796875" customWidth="1"/>
    <col min="5" max="5" width="20.1796875" bestFit="1" customWidth="1"/>
    <col min="6" max="6" width="17.6328125" customWidth="1"/>
    <col min="10" max="10" width="17.1796875" bestFit="1" customWidth="1"/>
    <col min="11" max="11" width="17.6328125" customWidth="1"/>
  </cols>
  <sheetData>
    <row r="2" spans="2:11" x14ac:dyDescent="0.35">
      <c r="B2" s="33" t="s">
        <v>17</v>
      </c>
      <c r="E2" s="33" t="s">
        <v>23</v>
      </c>
      <c r="J2" s="33" t="s">
        <v>25</v>
      </c>
    </row>
    <row r="3" spans="2:11" x14ac:dyDescent="0.35">
      <c r="B3" t="s">
        <v>18</v>
      </c>
      <c r="C3" s="34">
        <v>119871</v>
      </c>
      <c r="D3" s="34"/>
      <c r="E3" t="s">
        <v>24</v>
      </c>
      <c r="F3" s="36">
        <v>4.3060000000000001E-2</v>
      </c>
      <c r="J3" t="s">
        <v>28</v>
      </c>
      <c r="K3">
        <v>0.91</v>
      </c>
    </row>
    <row r="4" spans="2:11" x14ac:dyDescent="0.35">
      <c r="C4" s="8"/>
      <c r="D4" s="8"/>
      <c r="E4" t="s">
        <v>25</v>
      </c>
      <c r="F4" s="37">
        <f>K11</f>
        <v>0.78452943532126351</v>
      </c>
    </row>
    <row r="5" spans="2:11" x14ac:dyDescent="0.35">
      <c r="B5" t="s">
        <v>19</v>
      </c>
      <c r="C5" s="34">
        <v>25285</v>
      </c>
      <c r="D5" s="8"/>
      <c r="E5" t="s">
        <v>26</v>
      </c>
      <c r="F5" s="36">
        <v>4.0399999999999998E-2</v>
      </c>
      <c r="J5" t="s">
        <v>29</v>
      </c>
      <c r="K5" s="7">
        <v>0.24179999999999999</v>
      </c>
    </row>
    <row r="6" spans="2:11" ht="15" thickBot="1" x14ac:dyDescent="0.4">
      <c r="C6" s="8"/>
      <c r="D6" s="8"/>
      <c r="E6" s="1" t="s">
        <v>23</v>
      </c>
      <c r="F6" s="39">
        <f>F3+(F4*F5)</f>
        <v>7.4754989186979037E-2</v>
      </c>
    </row>
    <row r="7" spans="2:11" ht="15" thickTop="1" x14ac:dyDescent="0.35">
      <c r="B7" t="s">
        <v>20</v>
      </c>
      <c r="C7" s="34">
        <f>SUM(C5,C3)</f>
        <v>145156</v>
      </c>
      <c r="D7" s="8"/>
      <c r="J7" t="s">
        <v>30</v>
      </c>
      <c r="K7" s="35">
        <f>$C$5</f>
        <v>25285</v>
      </c>
    </row>
    <row r="8" spans="2:11" x14ac:dyDescent="0.35">
      <c r="C8" s="34"/>
      <c r="D8" s="8"/>
    </row>
    <row r="9" spans="2:11" x14ac:dyDescent="0.35">
      <c r="B9" t="s">
        <v>21</v>
      </c>
      <c r="C9" s="7">
        <f>C3/C7</f>
        <v>0.82580809611728068</v>
      </c>
      <c r="D9" s="8"/>
      <c r="J9" t="s">
        <v>31</v>
      </c>
      <c r="K9" s="35">
        <f>$C$3</f>
        <v>119871</v>
      </c>
    </row>
    <row r="10" spans="2:11" x14ac:dyDescent="0.35">
      <c r="C10" s="8"/>
      <c r="D10" s="8"/>
      <c r="E10" s="33" t="s">
        <v>27</v>
      </c>
    </row>
    <row r="11" spans="2:11" x14ac:dyDescent="0.35">
      <c r="B11" t="s">
        <v>22</v>
      </c>
      <c r="C11" s="7">
        <f>C5/C7</f>
        <v>0.17419190388271927</v>
      </c>
      <c r="D11" s="8"/>
      <c r="J11" t="s">
        <v>32</v>
      </c>
      <c r="K11">
        <f>(K3)/(1+(1-K5)*(K7/K9))</f>
        <v>0.78452943532126351</v>
      </c>
    </row>
    <row r="18" spans="10:11" x14ac:dyDescent="0.35">
      <c r="J18" s="33" t="s">
        <v>33</v>
      </c>
    </row>
    <row r="19" spans="10:11" x14ac:dyDescent="0.35">
      <c r="J19" t="s">
        <v>31</v>
      </c>
      <c r="K19" s="35"/>
    </row>
    <row r="20" spans="10:11" x14ac:dyDescent="0.35">
      <c r="J20" t="s">
        <v>34</v>
      </c>
      <c r="K20" s="40">
        <f>$C$9</f>
        <v>0.82580809611728068</v>
      </c>
    </row>
    <row r="21" spans="10:11" x14ac:dyDescent="0.35">
      <c r="J21" t="s">
        <v>23</v>
      </c>
      <c r="K21" s="41">
        <f>$F$6</f>
        <v>7.4754989186979037E-2</v>
      </c>
    </row>
    <row r="23" spans="10:11" x14ac:dyDescent="0.35">
      <c r="J23" t="s">
        <v>30</v>
      </c>
      <c r="K23" s="35"/>
    </row>
    <row r="24" spans="10:11" x14ac:dyDescent="0.35">
      <c r="J24" t="s">
        <v>35</v>
      </c>
      <c r="K24" s="40">
        <f>$C$11</f>
        <v>0.17419190388271927</v>
      </c>
    </row>
    <row r="25" spans="10:11" x14ac:dyDescent="0.35">
      <c r="J25" t="s">
        <v>27</v>
      </c>
      <c r="K25" s="7">
        <v>4.4999999999999998E-2</v>
      </c>
    </row>
    <row r="27" spans="10:11" x14ac:dyDescent="0.35">
      <c r="J27" t="s">
        <v>36</v>
      </c>
      <c r="K27" s="40">
        <f>K5</f>
        <v>0.24179999999999999</v>
      </c>
    </row>
    <row r="29" spans="10:11" x14ac:dyDescent="0.35">
      <c r="J29" t="s">
        <v>33</v>
      </c>
      <c r="K29" s="7">
        <f>(K20*K21)+(K24*K25*(1-K27))</f>
        <v>6.7676528864341556E-2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DCF</vt:lpstr>
      <vt:lpstr>TGR &amp; TV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Long, Michael</dc:creator>
  <cp:lastModifiedBy>Long, Michael</cp:lastModifiedBy>
  <dcterms:created xsi:type="dcterms:W3CDTF">2024-11-08T19:40:09Z</dcterms:created>
  <dcterms:modified xsi:type="dcterms:W3CDTF">2024-11-11T20:08:12Z</dcterms:modified>
</cp:coreProperties>
</file>
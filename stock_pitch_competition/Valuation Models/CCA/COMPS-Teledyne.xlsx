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brodyrukenbrod/Desktop/"/>
    </mc:Choice>
  </mc:AlternateContent>
  <xr:revisionPtr revIDLastSave="0" documentId="8_{5931CE77-AFDE-BB48-AD5D-C9437F4B16E2}" xr6:coauthVersionLast="47" xr6:coauthVersionMax="47" xr10:uidLastSave="{00000000-0000-0000-0000-000000000000}"/>
  <bookViews>
    <workbookView xWindow="0" yWindow="0" windowWidth="38400" windowHeight="21600" firstSheet="1" activeTab="1" xr2:uid="{00000000-000D-0000-FFFF-FFFF00000000}"/>
  </bookViews>
  <sheets>
    <sheet name="NI Brady" sheetId="8" r:id="rId1"/>
    <sheet name="Comps Final" sheetId="7" r:id="rId2"/>
    <sheet name="Comps Final (2)" sheetId="9" r:id="rId3"/>
    <sheet name="Start (3)" sheetId="5" r:id="rId4"/>
    <sheet name="Start (2)" sheetId="3" r:id="rId5"/>
    <sheet name="Start" sheetId="2" r:id="rId6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gOX39VO1Cqr39cf32bUtMz7VRpxA=="/>
    </ext>
  </extLst>
</workbook>
</file>

<file path=xl/calcChain.xml><?xml version="1.0" encoding="utf-8"?>
<calcChain xmlns="http://schemas.openxmlformats.org/spreadsheetml/2006/main">
  <c r="N25" i="7" l="1"/>
  <c r="O25" i="7"/>
  <c r="P25" i="7"/>
  <c r="N22" i="2"/>
  <c r="P22" i="2"/>
  <c r="P24" i="2"/>
  <c r="I12" i="9"/>
  <c r="I11" i="9"/>
  <c r="I10" i="9"/>
  <c r="I9" i="9"/>
  <c r="I8" i="9"/>
  <c r="I7" i="9"/>
  <c r="Q26" i="9"/>
  <c r="P26" i="9"/>
  <c r="O26" i="9"/>
  <c r="Q24" i="9"/>
  <c r="P24" i="9"/>
  <c r="O24" i="9"/>
  <c r="F12" i="9"/>
  <c r="F11" i="9"/>
  <c r="Q11" i="9" s="1"/>
  <c r="F10" i="9"/>
  <c r="Q10" i="9" s="1"/>
  <c r="F9" i="9"/>
  <c r="F8" i="9"/>
  <c r="Q8" i="9" s="1"/>
  <c r="F7" i="9"/>
  <c r="Q7" i="9" s="1"/>
  <c r="P26" i="8"/>
  <c r="O26" i="8"/>
  <c r="N26" i="8"/>
  <c r="P24" i="8"/>
  <c r="O24" i="8"/>
  <c r="N24" i="8"/>
  <c r="F12" i="8"/>
  <c r="H12" i="8" s="1"/>
  <c r="F11" i="8"/>
  <c r="P11" i="8" s="1"/>
  <c r="F10" i="8"/>
  <c r="P10" i="8" s="1"/>
  <c r="F9" i="8"/>
  <c r="H9" i="8" s="1"/>
  <c r="F8" i="8"/>
  <c r="H8" i="8" s="1"/>
  <c r="F7" i="8"/>
  <c r="P7" i="8" s="1"/>
  <c r="F10" i="7"/>
  <c r="H10" i="7"/>
  <c r="N10" i="7"/>
  <c r="O22" i="2"/>
  <c r="N24" i="7"/>
  <c r="O24" i="7"/>
  <c r="P24" i="7"/>
  <c r="N26" i="7"/>
  <c r="O26" i="7"/>
  <c r="P26" i="7"/>
  <c r="F7" i="7"/>
  <c r="H7" i="7" s="1"/>
  <c r="F8" i="7"/>
  <c r="H8" i="7" s="1"/>
  <c r="P8" i="7"/>
  <c r="F9" i="7"/>
  <c r="P9" i="7" s="1"/>
  <c r="H9" i="7"/>
  <c r="O9" i="7" s="1"/>
  <c r="N9" i="7"/>
  <c r="O10" i="7"/>
  <c r="P10" i="7"/>
  <c r="F11" i="7"/>
  <c r="H11" i="7" s="1"/>
  <c r="P11" i="7"/>
  <c r="F12" i="7"/>
  <c r="P12" i="7" s="1"/>
  <c r="H12" i="7"/>
  <c r="O12" i="7" s="1"/>
  <c r="N12" i="7"/>
  <c r="N23" i="2"/>
  <c r="O24" i="2"/>
  <c r="O26" i="2" s="1"/>
  <c r="N25" i="5"/>
  <c r="N23" i="5"/>
  <c r="N22" i="5"/>
  <c r="P26" i="5"/>
  <c r="O26" i="5"/>
  <c r="N26" i="5"/>
  <c r="P24" i="5"/>
  <c r="O24" i="5"/>
  <c r="N24" i="5"/>
  <c r="P12" i="5"/>
  <c r="F12" i="5"/>
  <c r="H12" i="5" s="1"/>
  <c r="P11" i="5"/>
  <c r="H11" i="5"/>
  <c r="N11" i="5" s="1"/>
  <c r="F11" i="5"/>
  <c r="F10" i="5"/>
  <c r="H10" i="5" s="1"/>
  <c r="P9" i="5"/>
  <c r="F9" i="5"/>
  <c r="H9" i="5" s="1"/>
  <c r="F8" i="5"/>
  <c r="P8" i="5" s="1"/>
  <c r="F7" i="5"/>
  <c r="P7" i="5" s="1"/>
  <c r="P22" i="3"/>
  <c r="N22" i="3"/>
  <c r="O22" i="3"/>
  <c r="H7" i="3"/>
  <c r="Q31" i="3"/>
  <c r="U27" i="3"/>
  <c r="U26" i="3"/>
  <c r="S26" i="3"/>
  <c r="T26" i="3"/>
  <c r="R26" i="3"/>
  <c r="N27" i="3"/>
  <c r="T24" i="3"/>
  <c r="S24" i="3"/>
  <c r="R24" i="3"/>
  <c r="N25" i="3"/>
  <c r="Q28" i="3"/>
  <c r="Q27" i="3"/>
  <c r="P25" i="3"/>
  <c r="O25" i="3"/>
  <c r="P23" i="3"/>
  <c r="P26" i="3"/>
  <c r="N23" i="3"/>
  <c r="O26" i="3"/>
  <c r="N26" i="3"/>
  <c r="P24" i="3"/>
  <c r="O24" i="3"/>
  <c r="N24" i="3"/>
  <c r="F12" i="3"/>
  <c r="P12" i="3" s="1"/>
  <c r="F11" i="3"/>
  <c r="P11" i="3" s="1"/>
  <c r="F10" i="3"/>
  <c r="H10" i="3" s="1"/>
  <c r="F9" i="3"/>
  <c r="H9" i="3" s="1"/>
  <c r="F8" i="3"/>
  <c r="H8" i="3" s="1"/>
  <c r="F7" i="3"/>
  <c r="O7" i="3" s="1"/>
  <c r="N16" i="2"/>
  <c r="N24" i="2"/>
  <c r="N26" i="2" s="1"/>
  <c r="P23" i="2"/>
  <c r="P25" i="2"/>
  <c r="O23" i="2"/>
  <c r="O25" i="2"/>
  <c r="N25" i="2"/>
  <c r="O14" i="2"/>
  <c r="O15" i="2"/>
  <c r="O16" i="2"/>
  <c r="P16" i="2"/>
  <c r="O17" i="2"/>
  <c r="O18" i="2"/>
  <c r="O19" i="2"/>
  <c r="N19" i="2"/>
  <c r="N18" i="2"/>
  <c r="N17" i="2"/>
  <c r="N15" i="2"/>
  <c r="N14" i="2"/>
  <c r="P9" i="2"/>
  <c r="P18" i="2" s="1"/>
  <c r="P10" i="2"/>
  <c r="P11" i="2"/>
  <c r="P12" i="2"/>
  <c r="P8" i="2"/>
  <c r="P7" i="2"/>
  <c r="O9" i="2"/>
  <c r="O10" i="2"/>
  <c r="O11" i="2"/>
  <c r="O12" i="2"/>
  <c r="O8" i="2"/>
  <c r="O7" i="2"/>
  <c r="N9" i="2"/>
  <c r="N10" i="2"/>
  <c r="N11" i="2"/>
  <c r="N12" i="2"/>
  <c r="N8" i="2"/>
  <c r="N7" i="2"/>
  <c r="H7" i="2"/>
  <c r="H8" i="2"/>
  <c r="H9" i="2"/>
  <c r="H10" i="2"/>
  <c r="H11" i="2"/>
  <c r="H12" i="2"/>
  <c r="F7" i="2"/>
  <c r="F12" i="2"/>
  <c r="F9" i="2"/>
  <c r="F10" i="2"/>
  <c r="F11" i="2"/>
  <c r="F8" i="2"/>
  <c r="Q9" i="9" l="1"/>
  <c r="P11" i="9"/>
  <c r="Q12" i="9"/>
  <c r="Q18" i="9"/>
  <c r="Q14" i="9"/>
  <c r="Q19" i="9"/>
  <c r="Q15" i="9"/>
  <c r="Q17" i="9"/>
  <c r="Q23" i="9" s="1"/>
  <c r="Q25" i="9" s="1"/>
  <c r="Q16" i="9"/>
  <c r="Q22" i="9" s="1"/>
  <c r="P12" i="9"/>
  <c r="O12" i="9"/>
  <c r="O9" i="9"/>
  <c r="P9" i="9"/>
  <c r="O11" i="9"/>
  <c r="P9" i="8"/>
  <c r="P12" i="8"/>
  <c r="H11" i="8"/>
  <c r="O11" i="8" s="1"/>
  <c r="O12" i="8"/>
  <c r="N12" i="8"/>
  <c r="N8" i="8"/>
  <c r="O8" i="8"/>
  <c r="N9" i="8"/>
  <c r="O9" i="8"/>
  <c r="H10" i="8"/>
  <c r="P8" i="8"/>
  <c r="H7" i="8"/>
  <c r="N7" i="7"/>
  <c r="O7" i="7"/>
  <c r="P15" i="7"/>
  <c r="P19" i="7"/>
  <c r="P16" i="7"/>
  <c r="P22" i="7" s="1"/>
  <c r="N8" i="7"/>
  <c r="O8" i="7"/>
  <c r="N11" i="7"/>
  <c r="O11" i="7"/>
  <c r="P14" i="2"/>
  <c r="P18" i="7"/>
  <c r="P17" i="7"/>
  <c r="P23" i="7" s="1"/>
  <c r="P7" i="7"/>
  <c r="P15" i="2"/>
  <c r="P14" i="7"/>
  <c r="P19" i="2"/>
  <c r="P17" i="2"/>
  <c r="N9" i="5"/>
  <c r="O9" i="5"/>
  <c r="O10" i="5"/>
  <c r="N10" i="5"/>
  <c r="O12" i="5"/>
  <c r="N12" i="5"/>
  <c r="O11" i="5"/>
  <c r="H7" i="5"/>
  <c r="P10" i="5"/>
  <c r="P18" i="5" s="1"/>
  <c r="H8" i="5"/>
  <c r="P9" i="3"/>
  <c r="P10" i="3"/>
  <c r="P7" i="3"/>
  <c r="P8" i="3"/>
  <c r="O10" i="3"/>
  <c r="N10" i="3"/>
  <c r="N9" i="3"/>
  <c r="O9" i="3"/>
  <c r="O8" i="3"/>
  <c r="N8" i="3"/>
  <c r="P17" i="3"/>
  <c r="N7" i="3"/>
  <c r="H12" i="3"/>
  <c r="H11" i="3"/>
  <c r="O8" i="9" l="1"/>
  <c r="P8" i="9"/>
  <c r="P7" i="9"/>
  <c r="O7" i="9"/>
  <c r="U42" i="9"/>
  <c r="U44" i="9" s="1"/>
  <c r="Q27" i="9"/>
  <c r="O10" i="9"/>
  <c r="P10" i="9"/>
  <c r="N11" i="8"/>
  <c r="N10" i="8"/>
  <c r="N17" i="8" s="1"/>
  <c r="N23" i="8" s="1"/>
  <c r="N25" i="8" s="1"/>
  <c r="N27" i="8" s="1"/>
  <c r="O10" i="8"/>
  <c r="O19" i="8" s="1"/>
  <c r="N18" i="8"/>
  <c r="N15" i="8"/>
  <c r="N7" i="8"/>
  <c r="O7" i="8"/>
  <c r="O17" i="8"/>
  <c r="O23" i="8" s="1"/>
  <c r="O25" i="8" s="1"/>
  <c r="O27" i="8" s="1"/>
  <c r="O15" i="8"/>
  <c r="P18" i="8"/>
  <c r="P14" i="8"/>
  <c r="P15" i="8"/>
  <c r="P17" i="8"/>
  <c r="P23" i="8" s="1"/>
  <c r="P25" i="8" s="1"/>
  <c r="P27" i="8" s="1"/>
  <c r="P16" i="8"/>
  <c r="P22" i="8" s="1"/>
  <c r="T24" i="8" s="1"/>
  <c r="T26" i="8" s="1"/>
  <c r="P19" i="8"/>
  <c r="O16" i="7"/>
  <c r="O22" i="7" s="1"/>
  <c r="O19" i="7"/>
  <c r="O15" i="7"/>
  <c r="O18" i="7"/>
  <c r="O17" i="7"/>
  <c r="O23" i="7" s="1"/>
  <c r="O14" i="7"/>
  <c r="N14" i="7"/>
  <c r="N17" i="7"/>
  <c r="N23" i="7" s="1"/>
  <c r="N19" i="7"/>
  <c r="N18" i="7"/>
  <c r="N16" i="7"/>
  <c r="N22" i="7" s="1"/>
  <c r="N15" i="7"/>
  <c r="P26" i="2"/>
  <c r="T42" i="7"/>
  <c r="T44" i="7" s="1"/>
  <c r="P27" i="7"/>
  <c r="P19" i="5"/>
  <c r="P14" i="5"/>
  <c r="P17" i="5"/>
  <c r="P23" i="5" s="1"/>
  <c r="P25" i="5" s="1"/>
  <c r="P27" i="5" s="1"/>
  <c r="O8" i="5"/>
  <c r="N8" i="5"/>
  <c r="O7" i="5"/>
  <c r="N7" i="5"/>
  <c r="P15" i="5"/>
  <c r="P16" i="5"/>
  <c r="P22" i="5" s="1"/>
  <c r="T24" i="5" s="1"/>
  <c r="T26" i="5" s="1"/>
  <c r="P15" i="3"/>
  <c r="P19" i="3"/>
  <c r="P18" i="3"/>
  <c r="P14" i="3"/>
  <c r="P16" i="3"/>
  <c r="N12" i="3"/>
  <c r="O12" i="3"/>
  <c r="P27" i="3"/>
  <c r="N15" i="3"/>
  <c r="N19" i="3"/>
  <c r="N18" i="3"/>
  <c r="O11" i="3"/>
  <c r="N11" i="3"/>
  <c r="N14" i="3" s="1"/>
  <c r="P19" i="9" l="1"/>
  <c r="P16" i="9"/>
  <c r="P22" i="9" s="1"/>
  <c r="P18" i="9"/>
  <c r="P15" i="9"/>
  <c r="P17" i="9"/>
  <c r="P23" i="9" s="1"/>
  <c r="P25" i="9" s="1"/>
  <c r="P14" i="9"/>
  <c r="O16" i="9"/>
  <c r="O22" i="9" s="1"/>
  <c r="O17" i="9"/>
  <c r="O23" i="9" s="1"/>
  <c r="O25" i="9" s="1"/>
  <c r="O14" i="9"/>
  <c r="O18" i="9"/>
  <c r="O19" i="9"/>
  <c r="O15" i="9"/>
  <c r="O18" i="8"/>
  <c r="N19" i="8"/>
  <c r="O16" i="8"/>
  <c r="O22" i="8" s="1"/>
  <c r="S24" i="8" s="1"/>
  <c r="S26" i="8" s="1"/>
  <c r="N14" i="8"/>
  <c r="O14" i="8"/>
  <c r="N16" i="8"/>
  <c r="N22" i="8" s="1"/>
  <c r="R24" i="8" s="1"/>
  <c r="R26" i="8" s="1"/>
  <c r="U27" i="8" s="1"/>
  <c r="Q28" i="8"/>
  <c r="Q27" i="8"/>
  <c r="O27" i="7"/>
  <c r="S42" i="7"/>
  <c r="S44" i="7" s="1"/>
  <c r="N27" i="7"/>
  <c r="R42" i="7"/>
  <c r="R44" i="7" s="1"/>
  <c r="Q27" i="2"/>
  <c r="Q26" i="2"/>
  <c r="N16" i="5"/>
  <c r="R24" i="5" s="1"/>
  <c r="R26" i="5" s="1"/>
  <c r="N17" i="5"/>
  <c r="N27" i="5" s="1"/>
  <c r="N18" i="5"/>
  <c r="N15" i="5"/>
  <c r="N14" i="5"/>
  <c r="N19" i="5"/>
  <c r="O17" i="5"/>
  <c r="O23" i="5" s="1"/>
  <c r="O25" i="5" s="1"/>
  <c r="O27" i="5" s="1"/>
  <c r="O14" i="5"/>
  <c r="O16" i="5"/>
  <c r="O22" i="5" s="1"/>
  <c r="S24" i="5" s="1"/>
  <c r="S26" i="5" s="1"/>
  <c r="O18" i="5"/>
  <c r="O15" i="5"/>
  <c r="O19" i="5"/>
  <c r="O19" i="3"/>
  <c r="O15" i="3"/>
  <c r="O14" i="3"/>
  <c r="N17" i="3"/>
  <c r="N16" i="3"/>
  <c r="O18" i="3"/>
  <c r="O16" i="3"/>
  <c r="O17" i="3"/>
  <c r="O23" i="3" s="1"/>
  <c r="O27" i="3" s="1"/>
  <c r="O27" i="9" l="1"/>
  <c r="S42" i="9"/>
  <c r="S44" i="9" s="1"/>
  <c r="T42" i="9"/>
  <c r="T44" i="9" s="1"/>
  <c r="P27" i="9"/>
  <c r="U26" i="8"/>
  <c r="Q31" i="8" s="1"/>
  <c r="P29" i="7"/>
  <c r="Q37" i="7"/>
  <c r="Q39" i="7" s="1"/>
  <c r="S48" i="7"/>
  <c r="S47" i="7"/>
  <c r="Q28" i="5"/>
  <c r="Q27" i="5"/>
  <c r="U27" i="5"/>
  <c r="U26" i="5"/>
  <c r="T48" i="9" l="1"/>
  <c r="T47" i="9"/>
  <c r="R37" i="9"/>
  <c r="Q29" i="9"/>
  <c r="Q31" i="5"/>
  <c r="R39" i="9" l="1"/>
</calcChain>
</file>

<file path=xl/sharedStrings.xml><?xml version="1.0" encoding="utf-8"?>
<sst xmlns="http://schemas.openxmlformats.org/spreadsheetml/2006/main" count="305" uniqueCount="55">
  <si>
    <t>Comparable Companies Analysis</t>
  </si>
  <si>
    <t>Market Data</t>
  </si>
  <si>
    <t>Financials</t>
  </si>
  <si>
    <t>Valuation</t>
  </si>
  <si>
    <t>Company</t>
  </si>
  <si>
    <t>Ticker</t>
  </si>
  <si>
    <t>Share 
Price</t>
  </si>
  <si>
    <t>Shares Outstanding</t>
  </si>
  <si>
    <t>Equity Value</t>
  </si>
  <si>
    <t>Net Debt</t>
  </si>
  <si>
    <t>Enterprise 
Value</t>
  </si>
  <si>
    <t>Revenue</t>
  </si>
  <si>
    <t>EBITDA</t>
  </si>
  <si>
    <t>Net Income</t>
  </si>
  <si>
    <t>EV/NI</t>
  </si>
  <si>
    <t>EV/EBITDA</t>
  </si>
  <si>
    <t>P/E</t>
  </si>
  <si>
    <t>FCF</t>
  </si>
  <si>
    <t>Teledyne Technologies</t>
  </si>
  <si>
    <t>TDY</t>
  </si>
  <si>
    <t>General Dynamics</t>
  </si>
  <si>
    <t>GD</t>
  </si>
  <si>
    <t>Keysight Technologies</t>
  </si>
  <si>
    <t>KEYS</t>
  </si>
  <si>
    <t>RTX Corporation</t>
  </si>
  <si>
    <t>RTX</t>
  </si>
  <si>
    <t>Lockheed Martin</t>
  </si>
  <si>
    <t>LMT</t>
  </si>
  <si>
    <t>Should be</t>
  </si>
  <si>
    <t>Northrop Grumman</t>
  </si>
  <si>
    <t>NOC</t>
  </si>
  <si>
    <t>High</t>
  </si>
  <si>
    <t>75th Percentile</t>
  </si>
  <si>
    <t>Average</t>
  </si>
  <si>
    <t>Median</t>
  </si>
  <si>
    <t>25th Percentile</t>
  </si>
  <si>
    <t>Low</t>
  </si>
  <si>
    <t>Teledyne Technologies Valuation</t>
  </si>
  <si>
    <t>EV/Net Income</t>
  </si>
  <si>
    <t>Average Implied EV</t>
  </si>
  <si>
    <t>Median Implied Enterprise Value</t>
  </si>
  <si>
    <t>average method</t>
  </si>
  <si>
    <t>Implied Market Value</t>
  </si>
  <si>
    <t>median</t>
  </si>
  <si>
    <t>Implied Value Per Share</t>
  </si>
  <si>
    <t>med</t>
  </si>
  <si>
    <t>average</t>
  </si>
  <si>
    <t>avg</t>
  </si>
  <si>
    <t>current price = 498</t>
  </si>
  <si>
    <t>combined</t>
  </si>
  <si>
    <t>Average Implied Value Per Share</t>
  </si>
  <si>
    <t>Cash</t>
  </si>
  <si>
    <t>EV/FCF</t>
  </si>
  <si>
    <t>EV/Revenue</t>
  </si>
  <si>
    <t>Implied Enterprise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</si>
</sst>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"/>
    <numFmt numFmtId="165" formatCode="#,##0.0\x"/>
    <numFmt numFmtId="166" formatCode="_-* #,##0.00\ _€_-;\-* #,##0.00\ _€_-;_-* &quot;-&quot;??\ _€_-;_-@"/>
    <numFmt numFmtId="167" formatCode="_(* #,##0.0_);_(* \(#,##0.0\);_(* &quot;-&quot;?_);_(@_)"/>
    <numFmt numFmtId="168" formatCode="_(&quot;$&quot;* #,##0_);_(&quot;$&quot;* \(#,##0\);_(&quot;$&quot;* &quot;-&quot;??_);_(@_)"/>
    <numFmt numFmtId="169" formatCode="_-* #,##0.0_-;\-* #,##0.0_-;_-* &quot;-&quot;??_-;_-@"/>
    <numFmt numFmtId="170" formatCode="_(* #,##0.0_);_(* \(#,##0.0\);_(* &quot;-&quot;??_);_(@_)"/>
  </numFmts>
  <fonts count="2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8"/>
      <color rgb="FF293D68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sz val="12"/>
      <color rgb="FF0432FF"/>
      <name val="Calibri"/>
      <family val="2"/>
    </font>
    <font>
      <b/>
      <sz val="12"/>
      <color theme="1"/>
      <name val="Calibri"/>
      <family val="2"/>
    </font>
    <font>
      <b/>
      <sz val="12"/>
      <color rgb="FF0432FF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rgb="FF0000FF"/>
      <name val="Calibri"/>
      <family val="2"/>
      <scheme val="minor"/>
    </font>
    <font>
      <sz val="12"/>
      <color rgb="FF3033FF"/>
      <name val="Calibri"/>
      <family val="2"/>
    </font>
    <font>
      <sz val="12"/>
      <color theme="1"/>
      <name val="Aptos"/>
      <family val="2"/>
    </font>
    <font>
      <b/>
      <sz val="12"/>
      <color theme="0"/>
      <name val="Aptos"/>
      <family val="2"/>
    </font>
    <font>
      <sz val="12"/>
      <name val="Aptos"/>
      <family val="2"/>
    </font>
    <font>
      <sz val="12"/>
      <color rgb="FF0432FF"/>
      <name val="Aptos"/>
      <family val="2"/>
    </font>
    <font>
      <b/>
      <sz val="12"/>
      <color theme="1"/>
      <name val="Aptos"/>
      <family val="2"/>
    </font>
    <font>
      <b/>
      <sz val="12"/>
      <color rgb="FF0432FF"/>
      <name val="Aptos"/>
      <family val="2"/>
    </font>
    <font>
      <u/>
      <sz val="12"/>
      <color theme="1"/>
      <name val="Aptos"/>
      <family val="2"/>
    </font>
    <font>
      <b/>
      <sz val="18"/>
      <color rgb="FF2C53A0"/>
      <name val="Aptos"/>
      <family val="2"/>
    </font>
    <font>
      <sz val="12"/>
      <color rgb="FF2C53A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293D68"/>
        <bgColor rgb="FF293D68"/>
      </patternFill>
    </fill>
    <fill>
      <patternFill patternType="solid">
        <fgColor rgb="FF2C53A0"/>
        <bgColor indexed="64"/>
      </patternFill>
    </fill>
    <fill>
      <patternFill patternType="solid">
        <fgColor rgb="FF2C53A0"/>
        <bgColor rgb="FF293D68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293D68"/>
      </bottom>
      <diagonal/>
    </border>
    <border>
      <left/>
      <right/>
      <top/>
      <bottom style="thin">
        <color theme="0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9" fillId="0" borderId="0" applyFont="0" applyFill="0" applyBorder="0" applyAlignment="0" applyProtection="0"/>
    <xf numFmtId="0" fontId="10" fillId="0" borderId="1"/>
  </cellStyleXfs>
  <cellXfs count="103">
    <xf numFmtId="0" fontId="0" fillId="0" borderId="0" xfId="0"/>
    <xf numFmtId="0" fontId="2" fillId="2" borderId="1" xfId="0" applyFont="1" applyFill="1" applyBorder="1"/>
    <xf numFmtId="0" fontId="3" fillId="0" borderId="2" xfId="0" applyFont="1" applyBorder="1"/>
    <xf numFmtId="0" fontId="2" fillId="0" borderId="2" xfId="0" applyFont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 applyAlignment="1">
      <alignment horizontal="center"/>
    </xf>
    <xf numFmtId="164" fontId="6" fillId="2" borderId="5" xfId="0" applyNumberFormat="1" applyFont="1" applyFill="1" applyBorder="1"/>
    <xf numFmtId="164" fontId="2" fillId="2" borderId="5" xfId="0" applyNumberFormat="1" applyFont="1" applyFill="1" applyBorder="1"/>
    <xf numFmtId="165" fontId="2" fillId="2" borderId="5" xfId="0" applyNumberFormat="1" applyFont="1" applyFill="1" applyBorder="1"/>
    <xf numFmtId="165" fontId="2" fillId="2" borderId="6" xfId="0" applyNumberFormat="1" applyFont="1" applyFill="1" applyBorder="1"/>
    <xf numFmtId="0" fontId="2" fillId="0" borderId="0" xfId="0" applyFont="1" applyAlignment="1">
      <alignment horizontal="center"/>
    </xf>
    <xf numFmtId="164" fontId="6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2" borderId="1" xfId="0" applyNumberFormat="1" applyFont="1" applyFill="1" applyBorder="1"/>
    <xf numFmtId="0" fontId="7" fillId="2" borderId="1" xfId="0" applyFont="1" applyFill="1" applyBorder="1"/>
    <xf numFmtId="165" fontId="7" fillId="2" borderId="1" xfId="0" applyNumberFormat="1" applyFont="1" applyFill="1" applyBorder="1"/>
    <xf numFmtId="0" fontId="2" fillId="3" borderId="1" xfId="0" applyFont="1" applyFill="1" applyBorder="1"/>
    <xf numFmtId="166" fontId="2" fillId="0" borderId="0" xfId="0" applyNumberFormat="1" applyFont="1"/>
    <xf numFmtId="0" fontId="7" fillId="2" borderId="7" xfId="0" applyFont="1" applyFill="1" applyBorder="1"/>
    <xf numFmtId="166" fontId="7" fillId="2" borderId="7" xfId="0" applyNumberFormat="1" applyFont="1" applyFill="1" applyBorder="1"/>
    <xf numFmtId="164" fontId="8" fillId="2" borderId="7" xfId="0" applyNumberFormat="1" applyFont="1" applyFill="1" applyBorder="1"/>
    <xf numFmtId="0" fontId="1" fillId="0" borderId="0" xfId="0" applyFont="1"/>
    <xf numFmtId="0" fontId="1" fillId="0" borderId="1" xfId="0" applyFont="1" applyBorder="1"/>
    <xf numFmtId="167" fontId="11" fillId="0" borderId="1" xfId="2" applyNumberFormat="1" applyFont="1"/>
    <xf numFmtId="44" fontId="6" fillId="2" borderId="5" xfId="1" applyFont="1" applyFill="1" applyBorder="1"/>
    <xf numFmtId="169" fontId="6" fillId="2" borderId="5" xfId="0" applyNumberFormat="1" applyFont="1" applyFill="1" applyBorder="1"/>
    <xf numFmtId="168" fontId="12" fillId="2" borderId="5" xfId="1" applyNumberFormat="1" applyFont="1" applyFill="1" applyBorder="1"/>
    <xf numFmtId="2" fontId="11" fillId="0" borderId="1" xfId="1" applyNumberFormat="1" applyFont="1" applyBorder="1"/>
    <xf numFmtId="1" fontId="12" fillId="0" borderId="0" xfId="1" applyNumberFormat="1" applyFont="1"/>
    <xf numFmtId="164" fontId="12" fillId="2" borderId="5" xfId="0" applyNumberFormat="1" applyFont="1" applyFill="1" applyBorder="1"/>
    <xf numFmtId="164" fontId="12" fillId="0" borderId="0" xfId="0" applyNumberFormat="1" applyFont="1"/>
    <xf numFmtId="44" fontId="2" fillId="2" borderId="1" xfId="0" applyNumberFormat="1" applyFont="1" applyFill="1" applyBorder="1"/>
    <xf numFmtId="2" fontId="7" fillId="2" borderId="7" xfId="1" applyNumberFormat="1" applyFont="1" applyFill="1" applyBorder="1"/>
    <xf numFmtId="2" fontId="0" fillId="0" borderId="0" xfId="0" applyNumberFormat="1"/>
    <xf numFmtId="43" fontId="1" fillId="0" borderId="0" xfId="0" applyNumberFormat="1" applyFont="1"/>
    <xf numFmtId="43" fontId="0" fillId="0" borderId="0" xfId="0" applyNumberFormat="1"/>
    <xf numFmtId="169" fontId="2" fillId="0" borderId="0" xfId="0" applyNumberFormat="1" applyFont="1"/>
    <xf numFmtId="170" fontId="1" fillId="0" borderId="0" xfId="0" applyNumberFormat="1" applyFont="1"/>
    <xf numFmtId="0" fontId="13" fillId="0" borderId="0" xfId="0" applyFont="1"/>
    <xf numFmtId="0" fontId="13" fillId="0" borderId="2" xfId="0" applyFont="1" applyBorder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2" borderId="4" xfId="0" applyFont="1" applyFill="1" applyBorder="1"/>
    <xf numFmtId="0" fontId="13" fillId="2" borderId="5" xfId="0" applyFont="1" applyFill="1" applyBorder="1" applyAlignment="1">
      <alignment horizontal="center"/>
    </xf>
    <xf numFmtId="164" fontId="13" fillId="2" borderId="5" xfId="0" applyNumberFormat="1" applyFont="1" applyFill="1" applyBorder="1"/>
    <xf numFmtId="164" fontId="16" fillId="2" borderId="5" xfId="0" applyNumberFormat="1" applyFont="1" applyFill="1" applyBorder="1"/>
    <xf numFmtId="165" fontId="13" fillId="2" borderId="5" xfId="0" applyNumberFormat="1" applyFont="1" applyFill="1" applyBorder="1"/>
    <xf numFmtId="165" fontId="13" fillId="2" borderId="6" xfId="0" applyNumberFormat="1" applyFont="1" applyFill="1" applyBorder="1"/>
    <xf numFmtId="0" fontId="13" fillId="0" borderId="0" xfId="0" applyFont="1" applyAlignment="1">
      <alignment horizontal="center"/>
    </xf>
    <xf numFmtId="164" fontId="13" fillId="0" borderId="0" xfId="0" applyNumberFormat="1" applyFont="1"/>
    <xf numFmtId="164" fontId="16" fillId="0" borderId="0" xfId="0" applyNumberFormat="1" applyFont="1"/>
    <xf numFmtId="165" fontId="13" fillId="0" borderId="0" xfId="0" applyNumberFormat="1" applyFont="1"/>
    <xf numFmtId="0" fontId="13" fillId="2" borderId="0" xfId="0" applyFont="1" applyFill="1"/>
    <xf numFmtId="44" fontId="13" fillId="2" borderId="0" xfId="0" applyNumberFormat="1" applyFont="1" applyFill="1"/>
    <xf numFmtId="165" fontId="13" fillId="2" borderId="0" xfId="0" applyNumberFormat="1" applyFont="1" applyFill="1"/>
    <xf numFmtId="0" fontId="17" fillId="2" borderId="0" xfId="0" applyFont="1" applyFill="1"/>
    <xf numFmtId="165" fontId="17" fillId="2" borderId="0" xfId="0" applyNumberFormat="1" applyFont="1" applyFill="1"/>
    <xf numFmtId="43" fontId="13" fillId="0" borderId="0" xfId="0" applyNumberFormat="1" applyFont="1"/>
    <xf numFmtId="170" fontId="13" fillId="0" borderId="0" xfId="0" applyNumberFormat="1" applyFont="1"/>
    <xf numFmtId="166" fontId="13" fillId="0" borderId="0" xfId="0" applyNumberFormat="1" applyFont="1"/>
    <xf numFmtId="169" fontId="13" fillId="0" borderId="0" xfId="0" applyNumberFormat="1" applyFont="1"/>
    <xf numFmtId="0" fontId="17" fillId="2" borderId="7" xfId="0" applyFont="1" applyFill="1" applyBorder="1"/>
    <xf numFmtId="166" fontId="17" fillId="2" borderId="7" xfId="0" applyNumberFormat="1" applyFont="1" applyFill="1" applyBorder="1"/>
    <xf numFmtId="164" fontId="18" fillId="2" borderId="7" xfId="0" applyNumberFormat="1" applyFont="1" applyFill="1" applyBorder="1"/>
    <xf numFmtId="2" fontId="17" fillId="2" borderId="7" xfId="1" applyNumberFormat="1" applyFont="1" applyFill="1" applyBorder="1"/>
    <xf numFmtId="2" fontId="13" fillId="0" borderId="0" xfId="0" applyNumberFormat="1" applyFont="1"/>
    <xf numFmtId="0" fontId="17" fillId="0" borderId="1" xfId="0" applyFont="1" applyBorder="1"/>
    <xf numFmtId="166" fontId="17" fillId="0" borderId="1" xfId="0" applyNumberFormat="1" applyFont="1" applyBorder="1"/>
    <xf numFmtId="164" fontId="18" fillId="0" borderId="1" xfId="0" applyNumberFormat="1" applyFont="1" applyBorder="1"/>
    <xf numFmtId="2" fontId="17" fillId="0" borderId="1" xfId="1" applyNumberFormat="1" applyFont="1" applyFill="1" applyBorder="1"/>
    <xf numFmtId="0" fontId="19" fillId="0" borderId="0" xfId="0" applyFont="1" applyAlignment="1">
      <alignment horizontal="left"/>
    </xf>
    <xf numFmtId="0" fontId="14" fillId="4" borderId="0" xfId="0" applyFont="1" applyFill="1"/>
    <xf numFmtId="0" fontId="14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14" fillId="5" borderId="0" xfId="0" applyFont="1" applyFill="1"/>
    <xf numFmtId="0" fontId="13" fillId="5" borderId="0" xfId="0" applyFont="1" applyFill="1"/>
    <xf numFmtId="0" fontId="14" fillId="5" borderId="0" xfId="0" applyFont="1" applyFill="1" applyAlignment="1">
      <alignment horizontal="center" vertical="center"/>
    </xf>
    <xf numFmtId="0" fontId="20" fillId="0" borderId="2" xfId="0" applyFont="1" applyBorder="1"/>
    <xf numFmtId="44" fontId="21" fillId="2" borderId="5" xfId="1" applyFont="1" applyFill="1" applyBorder="1"/>
    <xf numFmtId="169" fontId="21" fillId="2" borderId="5" xfId="0" applyNumberFormat="1" applyFont="1" applyFill="1" applyBorder="1"/>
    <xf numFmtId="2" fontId="21" fillId="0" borderId="0" xfId="1" applyNumberFormat="1" applyFont="1"/>
    <xf numFmtId="168" fontId="21" fillId="2" borderId="5" xfId="1" applyNumberFormat="1" applyFont="1" applyFill="1" applyBorder="1"/>
    <xf numFmtId="1" fontId="21" fillId="0" borderId="0" xfId="1" applyNumberFormat="1" applyFont="1"/>
    <xf numFmtId="164" fontId="21" fillId="2" borderId="5" xfId="0" applyNumberFormat="1" applyFont="1" applyFill="1" applyBorder="1"/>
    <xf numFmtId="164" fontId="21" fillId="0" borderId="0" xfId="0" applyNumberFormat="1" applyFont="1"/>
    <xf numFmtId="2" fontId="13" fillId="0" borderId="8" xfId="0" applyNumberFormat="1" applyFont="1" applyBorder="1" applyAlignment="1">
      <alignment horizontal="right"/>
    </xf>
    <xf numFmtId="164" fontId="12" fillId="6" borderId="0" xfId="0" applyNumberFormat="1" applyFont="1" applyFill="1"/>
    <xf numFmtId="0" fontId="0" fillId="6" borderId="0" xfId="0" applyFill="1"/>
    <xf numFmtId="167" fontId="21" fillId="0" borderId="1" xfId="2" applyNumberFormat="1" applyFont="1"/>
    <xf numFmtId="0" fontId="4" fillId="3" borderId="3" xfId="0" applyFont="1" applyFill="1" applyBorder="1" applyAlignment="1">
      <alignment horizontal="center"/>
    </xf>
    <xf numFmtId="0" fontId="5" fillId="0" borderId="3" xfId="0" applyFont="1" applyBorder="1"/>
    <xf numFmtId="0" fontId="14" fillId="4" borderId="3" xfId="0" applyFont="1" applyFill="1" applyBorder="1" applyAlignment="1">
      <alignment horizontal="center"/>
    </xf>
    <xf numFmtId="0" fontId="15" fillId="4" borderId="3" xfId="0" applyFont="1" applyFill="1" applyBorder="1"/>
  </cellXfs>
  <cellStyles count="3">
    <cellStyle name="Currency" xfId="1" builtinId="4"/>
    <cellStyle name="Normal" xfId="0" builtinId="0"/>
    <cellStyle name="Normal 2" xfId="2" xr:uid="{D263FF0B-35FD-5443-8D03-80C9D25A5E47}"/>
  </cellStyles>
  <dxfs count="0"/>
  <tableStyles count="0" defaultTableStyle="TableStyleMedium2" defaultPivotStyle="PivotStyleLight16"/>
  <colors>
    <mruColors>
      <color rgb="FF30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2FBF-0CDB-2F40-BAC2-FC79E10C6032}">
  <dimension ref="B1:V31"/>
  <sheetViews>
    <sheetView showGridLines="0" topLeftCell="B1" zoomScale="96" zoomScaleNormal="96" workbookViewId="0">
      <selection activeCell="H50" sqref="H50"/>
    </sheetView>
  </sheetViews>
  <sheetFormatPr baseColWidth="10" defaultColWidth="11" defaultRowHeight="15" customHeight="1" x14ac:dyDescent="0.2"/>
  <cols>
    <col min="1" max="1" width="10.5" customWidth="1"/>
    <col min="2" max="2" width="43.33203125" bestFit="1" customWidth="1"/>
    <col min="3" max="3" width="14" customWidth="1"/>
    <col min="4" max="4" width="10.33203125" customWidth="1"/>
    <col min="5" max="5" width="11.5" customWidth="1"/>
    <col min="6" max="7" width="11.33203125" customWidth="1"/>
    <col min="8" max="8" width="10.5" customWidth="1"/>
    <col min="9" max="9" width="3.5" customWidth="1"/>
    <col min="10" max="10" width="11.5" customWidth="1"/>
    <col min="11" max="12" width="10.5" customWidth="1"/>
    <col min="13" max="13" width="3.5" customWidth="1"/>
    <col min="14" max="14" width="13.5" bestFit="1" customWidth="1"/>
    <col min="15" max="17" width="10.5" customWidth="1"/>
    <col min="18" max="18" width="14.1640625" bestFit="1" customWidth="1"/>
    <col min="19" max="20" width="4.83203125" bestFit="1" customWidth="1"/>
    <col min="21" max="26" width="10.5" customWidth="1"/>
  </cols>
  <sheetData>
    <row r="1" spans="2:21" ht="16" x14ac:dyDescent="0.2"/>
    <row r="2" spans="2:21" ht="24" x14ac:dyDescent="0.3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21" ht="16" x14ac:dyDescent="0.2"/>
    <row r="4" spans="2:21" ht="16" x14ac:dyDescent="0.2">
      <c r="B4" s="4"/>
      <c r="C4" s="4"/>
      <c r="D4" s="99" t="s">
        <v>1</v>
      </c>
      <c r="E4" s="100"/>
      <c r="F4" s="100"/>
      <c r="G4" s="100"/>
      <c r="H4" s="100"/>
      <c r="I4" s="4"/>
      <c r="J4" s="99" t="s">
        <v>2</v>
      </c>
      <c r="K4" s="100"/>
      <c r="L4" s="100"/>
      <c r="M4" s="4"/>
      <c r="N4" s="99" t="s">
        <v>3</v>
      </c>
      <c r="O4" s="100"/>
      <c r="P4" s="100"/>
    </row>
    <row r="5" spans="2:21" ht="34" x14ac:dyDescent="0.2">
      <c r="B5" s="5" t="s">
        <v>4</v>
      </c>
      <c r="C5" s="5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7"/>
      <c r="J5" s="7" t="s">
        <v>11</v>
      </c>
      <c r="K5" s="7" t="s">
        <v>12</v>
      </c>
      <c r="L5" s="7" t="s">
        <v>13</v>
      </c>
      <c r="M5" s="7"/>
      <c r="N5" s="7" t="s">
        <v>14</v>
      </c>
      <c r="O5" s="7" t="s">
        <v>15</v>
      </c>
      <c r="P5" s="7" t="s">
        <v>16</v>
      </c>
      <c r="U5" s="29" t="s">
        <v>17</v>
      </c>
    </row>
    <row r="6" spans="2:21" ht="9" customHeight="1" x14ac:dyDescent="0.2">
      <c r="B6" s="8"/>
      <c r="C6" s="8"/>
      <c r="D6" s="9"/>
      <c r="E6" s="9"/>
      <c r="F6" s="9"/>
      <c r="G6" s="9"/>
      <c r="H6" s="9"/>
      <c r="I6" s="10"/>
      <c r="J6" s="10"/>
      <c r="K6" s="10"/>
      <c r="L6" s="10"/>
      <c r="M6" s="10"/>
      <c r="N6" s="10"/>
      <c r="O6" s="10"/>
      <c r="P6" s="10"/>
    </row>
    <row r="7" spans="2:21" ht="16" x14ac:dyDescent="0.2">
      <c r="B7" s="11" t="s">
        <v>18</v>
      </c>
      <c r="C7" s="12" t="s">
        <v>19</v>
      </c>
      <c r="D7" s="32">
        <v>497.71</v>
      </c>
      <c r="E7" s="33">
        <v>47.6</v>
      </c>
      <c r="F7" s="14">
        <f>D7*E7</f>
        <v>23690.995999999999</v>
      </c>
      <c r="G7" s="34">
        <v>2649</v>
      </c>
      <c r="H7" s="14">
        <f>F7+G7</f>
        <v>26339.995999999999</v>
      </c>
      <c r="I7" s="13"/>
      <c r="J7" s="37">
        <v>5670</v>
      </c>
      <c r="K7" s="37">
        <v>1352</v>
      </c>
      <c r="L7" s="37">
        <v>819.2</v>
      </c>
      <c r="M7" s="14"/>
      <c r="N7" s="15">
        <f t="shared" ref="N7:N12" si="0">H7/L7</f>
        <v>32.153315429687495</v>
      </c>
      <c r="O7" s="15">
        <f t="shared" ref="O7:O12" si="1">H7/K7</f>
        <v>19.482245562130178</v>
      </c>
      <c r="P7" s="16">
        <f t="shared" ref="P7:P12" si="2">F7/L7</f>
        <v>28.919672851562499</v>
      </c>
      <c r="U7">
        <v>1108</v>
      </c>
    </row>
    <row r="8" spans="2:21" ht="16" x14ac:dyDescent="0.2">
      <c r="B8" s="29" t="s">
        <v>20</v>
      </c>
      <c r="C8" s="17" t="s">
        <v>21</v>
      </c>
      <c r="D8" s="35">
        <v>272.99</v>
      </c>
      <c r="E8" s="31">
        <v>277.48500000000001</v>
      </c>
      <c r="F8" s="19">
        <f>D8*E8</f>
        <v>75750.630150000012</v>
      </c>
      <c r="G8" s="36">
        <v>9290</v>
      </c>
      <c r="H8" s="19">
        <f t="shared" ref="H8:H11" si="3">F8+G8</f>
        <v>85040.630150000012</v>
      </c>
      <c r="I8" s="18"/>
      <c r="J8" s="38">
        <v>47716</v>
      </c>
      <c r="K8" s="38">
        <v>5682</v>
      </c>
      <c r="L8" s="38">
        <v>3788</v>
      </c>
      <c r="M8" s="19"/>
      <c r="N8" s="20">
        <f t="shared" si="0"/>
        <v>22.450007959345303</v>
      </c>
      <c r="O8" s="20">
        <f t="shared" si="1"/>
        <v>14.966671972896869</v>
      </c>
      <c r="P8" s="20">
        <f t="shared" si="2"/>
        <v>19.997526438753962</v>
      </c>
      <c r="U8">
        <v>3196</v>
      </c>
    </row>
    <row r="9" spans="2:21" ht="16" x14ac:dyDescent="0.2">
      <c r="B9" s="29" t="s">
        <v>22</v>
      </c>
      <c r="C9" s="17" t="s">
        <v>23</v>
      </c>
      <c r="D9" s="35">
        <v>149.29</v>
      </c>
      <c r="E9" s="31">
        <v>174</v>
      </c>
      <c r="F9" s="19">
        <f t="shared" ref="F9:F11" si="4">D9*E9</f>
        <v>25976.46</v>
      </c>
      <c r="G9" s="36">
        <v>1290</v>
      </c>
      <c r="H9" s="19">
        <f t="shared" si="3"/>
        <v>27266.46</v>
      </c>
      <c r="I9" s="18"/>
      <c r="J9" s="38">
        <v>4980</v>
      </c>
      <c r="K9" s="38">
        <v>1098</v>
      </c>
      <c r="L9" s="38">
        <v>610</v>
      </c>
      <c r="M9" s="19"/>
      <c r="N9" s="20">
        <f t="shared" si="0"/>
        <v>44.69911475409836</v>
      </c>
      <c r="O9" s="20">
        <f t="shared" si="1"/>
        <v>24.832841530054644</v>
      </c>
      <c r="P9" s="20">
        <f t="shared" si="2"/>
        <v>42.584360655737704</v>
      </c>
      <c r="U9">
        <v>898</v>
      </c>
    </row>
    <row r="10" spans="2:21" ht="16" x14ac:dyDescent="0.2">
      <c r="B10" s="29" t="s">
        <v>24</v>
      </c>
      <c r="C10" s="17" t="s">
        <v>25</v>
      </c>
      <c r="D10" s="35">
        <v>132.35</v>
      </c>
      <c r="E10" s="31">
        <v>1343.6</v>
      </c>
      <c r="F10" s="19">
        <f t="shared" si="4"/>
        <v>177825.46</v>
      </c>
      <c r="G10" s="36">
        <v>41262</v>
      </c>
      <c r="H10" s="19">
        <f t="shared" si="3"/>
        <v>219087.46</v>
      </c>
      <c r="I10" s="18"/>
      <c r="J10" s="38">
        <v>80700</v>
      </c>
      <c r="K10" s="38">
        <v>10902</v>
      </c>
      <c r="L10" s="38">
        <v>4774</v>
      </c>
      <c r="M10" s="19"/>
      <c r="N10" s="20">
        <f t="shared" si="0"/>
        <v>45.891801424382066</v>
      </c>
      <c r="O10" s="20">
        <f t="shared" si="1"/>
        <v>20.096079618418639</v>
      </c>
      <c r="P10" s="20">
        <f t="shared" si="2"/>
        <v>37.24873481357352</v>
      </c>
      <c r="U10">
        <v>3923</v>
      </c>
    </row>
    <row r="11" spans="2:21" ht="16" x14ac:dyDescent="0.2">
      <c r="B11" s="30" t="s">
        <v>26</v>
      </c>
      <c r="C11" s="17" t="s">
        <v>27</v>
      </c>
      <c r="D11" s="35">
        <v>447.33</v>
      </c>
      <c r="E11" s="31">
        <v>239.2</v>
      </c>
      <c r="F11" s="19">
        <f t="shared" si="4"/>
        <v>107001.336</v>
      </c>
      <c r="G11" s="36">
        <v>20270</v>
      </c>
      <c r="H11" s="19">
        <f t="shared" si="3"/>
        <v>127271.336</v>
      </c>
      <c r="I11" s="18"/>
      <c r="J11" s="38">
        <v>71000</v>
      </c>
      <c r="K11" s="38">
        <v>8572</v>
      </c>
      <c r="L11" s="38">
        <v>5300</v>
      </c>
      <c r="M11" s="19"/>
      <c r="N11" s="20">
        <f t="shared" si="0"/>
        <v>24.013459622641509</v>
      </c>
      <c r="O11" s="20">
        <f t="shared" si="1"/>
        <v>14.847332711152589</v>
      </c>
      <c r="P11" s="20">
        <f t="shared" si="2"/>
        <v>20.188931320754715</v>
      </c>
      <c r="R11" t="s">
        <v>28</v>
      </c>
      <c r="U11">
        <v>5297</v>
      </c>
    </row>
    <row r="12" spans="2:21" ht="16" x14ac:dyDescent="0.2">
      <c r="B12" s="30" t="s">
        <v>29</v>
      </c>
      <c r="C12" s="17" t="s">
        <v>30</v>
      </c>
      <c r="D12" s="35">
        <v>511.96</v>
      </c>
      <c r="E12" s="31">
        <v>147</v>
      </c>
      <c r="F12" s="19">
        <f>D12*E12</f>
        <v>75258.12</v>
      </c>
      <c r="G12" s="36">
        <v>16274</v>
      </c>
      <c r="H12" s="19">
        <f>F12+G12</f>
        <v>91532.12</v>
      </c>
      <c r="I12" s="18"/>
      <c r="J12" s="38">
        <v>41030</v>
      </c>
      <c r="K12" s="38">
        <v>5740</v>
      </c>
      <c r="L12" s="96">
        <v>4170</v>
      </c>
      <c r="M12" s="19"/>
      <c r="N12" s="20">
        <f t="shared" si="0"/>
        <v>21.950148681055154</v>
      </c>
      <c r="O12" s="20">
        <f t="shared" si="1"/>
        <v>15.946362369337978</v>
      </c>
      <c r="P12" s="20">
        <f t="shared" si="2"/>
        <v>18.047510791366907</v>
      </c>
      <c r="R12" s="97">
        <v>4170</v>
      </c>
      <c r="U12">
        <v>2621</v>
      </c>
    </row>
    <row r="13" spans="2:21" ht="16" x14ac:dyDescent="0.2">
      <c r="E13" s="19"/>
    </row>
    <row r="14" spans="2:21" ht="16" x14ac:dyDescent="0.2">
      <c r="B14" s="1" t="s">
        <v>31</v>
      </c>
      <c r="C14" s="1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21">
        <f>MAX(N8:N12)</f>
        <v>45.891801424382066</v>
      </c>
      <c r="O14" s="21">
        <f t="shared" ref="O14:P14" si="5">MAX(O8:O12)</f>
        <v>24.832841530054644</v>
      </c>
      <c r="P14" s="21">
        <f t="shared" si="5"/>
        <v>42.584360655737704</v>
      </c>
    </row>
    <row r="15" spans="2:21" ht="16" x14ac:dyDescent="0.2">
      <c r="B15" s="1" t="s">
        <v>32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1">
        <f>QUARTILE(N8:N12,3)</f>
        <v>44.69911475409836</v>
      </c>
      <c r="O15" s="21">
        <f t="shared" ref="O15:P15" si="6">QUARTILE(O8:O12,3)</f>
        <v>20.096079618418639</v>
      </c>
      <c r="P15" s="21">
        <f t="shared" si="6"/>
        <v>37.24873481357352</v>
      </c>
    </row>
    <row r="16" spans="2:21" ht="16" x14ac:dyDescent="0.2">
      <c r="B16" s="22" t="s">
        <v>33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3">
        <f>AVERAGE(N8:N12)</f>
        <v>31.800906488304474</v>
      </c>
      <c r="O16" s="23">
        <f t="shared" ref="O16:P16" si="7">AVERAGE(O8:O12)</f>
        <v>18.137857640372143</v>
      </c>
      <c r="P16" s="23">
        <f t="shared" si="7"/>
        <v>27.613412804037363</v>
      </c>
    </row>
    <row r="17" spans="2:22" ht="16" x14ac:dyDescent="0.2">
      <c r="B17" s="22" t="s">
        <v>34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3">
        <f>MEDIAN(N8:N12)</f>
        <v>24.013459622641509</v>
      </c>
      <c r="O17" s="23">
        <f t="shared" ref="O17:P17" si="8">MEDIAN(O8:O12)</f>
        <v>15.946362369337978</v>
      </c>
      <c r="P17" s="23">
        <f t="shared" si="8"/>
        <v>20.188931320754715</v>
      </c>
    </row>
    <row r="18" spans="2:22" ht="16" x14ac:dyDescent="0.2">
      <c r="B18" s="1" t="s">
        <v>35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1">
        <f>QUARTILE(N8:N12,1)</f>
        <v>22.450007959345303</v>
      </c>
      <c r="O18" s="21">
        <f t="shared" ref="O18:P18" si="9">QUARTILE(O8:O12,1)</f>
        <v>14.966671972896869</v>
      </c>
      <c r="P18" s="21">
        <f t="shared" si="9"/>
        <v>19.997526438753962</v>
      </c>
    </row>
    <row r="19" spans="2:22" ht="16" x14ac:dyDescent="0.2">
      <c r="B19" s="1" t="s">
        <v>36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1">
        <f>MIN(N8:N12)</f>
        <v>21.950148681055154</v>
      </c>
      <c r="O19" s="21">
        <f t="shared" ref="O19:P19" si="10">MIN(O8:O12)</f>
        <v>14.847332711152589</v>
      </c>
      <c r="P19" s="21">
        <f t="shared" si="10"/>
        <v>18.047510791366907</v>
      </c>
    </row>
    <row r="20" spans="2:22" ht="16" x14ac:dyDescent="0.2"/>
    <row r="21" spans="2:22" ht="16" x14ac:dyDescent="0.2">
      <c r="B21" s="4" t="s">
        <v>37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7" t="s">
        <v>38</v>
      </c>
      <c r="O21" s="7" t="s">
        <v>15</v>
      </c>
      <c r="P21" s="7" t="s">
        <v>16</v>
      </c>
    </row>
    <row r="22" spans="2:22" s="29" customFormat="1" ht="16" x14ac:dyDescent="0.2">
      <c r="B22" s="29" t="s">
        <v>39</v>
      </c>
      <c r="N22" s="42">
        <f>L7*N16</f>
        <v>26051.302595219026</v>
      </c>
      <c r="O22" s="45">
        <f>K7*O16</f>
        <v>24522.383529783139</v>
      </c>
      <c r="P22" s="19">
        <f>P16*L7</f>
        <v>22620.907769067409</v>
      </c>
    </row>
    <row r="23" spans="2:22" ht="16" x14ac:dyDescent="0.2">
      <c r="B23" s="29" t="s">
        <v>40</v>
      </c>
      <c r="J23" s="25"/>
      <c r="N23" s="19">
        <f>L7* N17</f>
        <v>19671.826122867926</v>
      </c>
      <c r="O23" s="19">
        <f>K7* O17</f>
        <v>21559.481923344945</v>
      </c>
      <c r="P23" s="19">
        <f>P17*L7</f>
        <v>16538.772537962264</v>
      </c>
      <c r="R23" s="29" t="s">
        <v>41</v>
      </c>
    </row>
    <row r="24" spans="2:22" ht="16" x14ac:dyDescent="0.2">
      <c r="B24" s="29" t="s">
        <v>9</v>
      </c>
      <c r="G24" s="18"/>
      <c r="J24" s="25"/>
      <c r="N24" s="19">
        <f>$G$7</f>
        <v>2649</v>
      </c>
      <c r="O24" s="19">
        <f t="shared" ref="O24:P24" si="11">$G$7</f>
        <v>2649</v>
      </c>
      <c r="P24" s="19">
        <f t="shared" si="11"/>
        <v>2649</v>
      </c>
      <c r="R24" s="43">
        <f>N22-N24</f>
        <v>23402.302595219026</v>
      </c>
      <c r="S24" s="43">
        <f>O22-O24</f>
        <v>21873.383529783139</v>
      </c>
      <c r="T24" s="43">
        <f>P22-P24</f>
        <v>19971.907769067409</v>
      </c>
    </row>
    <row r="25" spans="2:22" ht="16" x14ac:dyDescent="0.2">
      <c r="B25" s="29" t="s">
        <v>42</v>
      </c>
      <c r="G25" s="18"/>
      <c r="J25" s="25"/>
      <c r="N25" s="19">
        <f>N23-N24</f>
        <v>17022.826122867926</v>
      </c>
      <c r="O25" s="19">
        <f>O23-O24</f>
        <v>18910.481923344945</v>
      </c>
      <c r="P25" s="19">
        <f>P23-P24</f>
        <v>13889.772537962264</v>
      </c>
      <c r="R25">
        <v>48</v>
      </c>
      <c r="S25">
        <v>48</v>
      </c>
      <c r="T25">
        <v>48</v>
      </c>
    </row>
    <row r="26" spans="2:22" ht="16" x14ac:dyDescent="0.2">
      <c r="B26" s="29" t="s">
        <v>7</v>
      </c>
      <c r="G26" s="18"/>
      <c r="N26" s="44">
        <f>$E$7</f>
        <v>47.6</v>
      </c>
      <c r="O26" s="19">
        <f t="shared" ref="O26" si="12">$E$7</f>
        <v>47.6</v>
      </c>
      <c r="P26" s="19">
        <f>$E$7</f>
        <v>47.6</v>
      </c>
      <c r="R26" s="43">
        <f>R24/R25</f>
        <v>487.5479707337297</v>
      </c>
      <c r="S26" s="43">
        <f>S24/S25</f>
        <v>455.69549020381538</v>
      </c>
      <c r="T26" s="43">
        <f>T24/T25</f>
        <v>416.08141185557105</v>
      </c>
      <c r="U26" s="43">
        <f>MEDIAN(R26:T26)</f>
        <v>455.69549020381538</v>
      </c>
      <c r="V26" s="29" t="s">
        <v>43</v>
      </c>
    </row>
    <row r="27" spans="2:22" ht="16" x14ac:dyDescent="0.2">
      <c r="B27" s="26" t="s">
        <v>44</v>
      </c>
      <c r="C27" s="26"/>
      <c r="D27" s="27"/>
      <c r="E27" s="27"/>
      <c r="F27" s="26"/>
      <c r="G27" s="28"/>
      <c r="H27" s="26"/>
      <c r="I27" s="26"/>
      <c r="J27" s="26"/>
      <c r="K27" s="26"/>
      <c r="L27" s="26"/>
      <c r="M27" s="26"/>
      <c r="N27" s="40">
        <f>N25/N26</f>
        <v>357.62239753924212</v>
      </c>
      <c r="O27" s="40">
        <f t="shared" ref="O27" si="13">O25/O26</f>
        <v>397.27903200304507</v>
      </c>
      <c r="P27" s="40">
        <f>P25/P26</f>
        <v>291.80194407483748</v>
      </c>
      <c r="Q27" s="41">
        <f>MEDIAN(N27:P27)</f>
        <v>357.62239753924212</v>
      </c>
      <c r="R27" s="29" t="s">
        <v>45</v>
      </c>
      <c r="U27" s="43">
        <f>AVERAGE(R26:T26)</f>
        <v>453.10829093103871</v>
      </c>
      <c r="V27" s="29" t="s">
        <v>46</v>
      </c>
    </row>
    <row r="28" spans="2:22" ht="16" x14ac:dyDescent="0.2">
      <c r="D28" s="25"/>
      <c r="E28" s="25"/>
      <c r="G28" s="18"/>
      <c r="Q28" s="41">
        <f>AVERAGE(N27:P27)</f>
        <v>348.90112453904158</v>
      </c>
      <c r="R28" s="29" t="s">
        <v>47</v>
      </c>
    </row>
    <row r="29" spans="2:22" ht="16" x14ac:dyDescent="0.2">
      <c r="D29" s="25"/>
      <c r="E29" s="25"/>
      <c r="G29" s="18"/>
    </row>
    <row r="30" spans="2:22" ht="16" x14ac:dyDescent="0.2">
      <c r="D30" s="25"/>
      <c r="E30" s="25"/>
    </row>
    <row r="31" spans="2:22" ht="16" x14ac:dyDescent="0.2">
      <c r="D31" s="25"/>
      <c r="E31" s="25"/>
      <c r="F31" s="29" t="s">
        <v>48</v>
      </c>
      <c r="P31" s="29" t="s">
        <v>49</v>
      </c>
      <c r="Q31" s="41">
        <f>AVERAGE(Q27:Q28,U26:U27)</f>
        <v>403.83182580328446</v>
      </c>
    </row>
  </sheetData>
  <mergeCells count="3">
    <mergeCell ref="D4:H4"/>
    <mergeCell ref="J4:L4"/>
    <mergeCell ref="N4:P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4F2C-BABE-8A4F-9757-347B16F009C9}">
  <dimension ref="A1:T48"/>
  <sheetViews>
    <sheetView showGridLines="0" tabSelected="1" zoomScaleNormal="100" workbookViewId="0">
      <selection activeCell="N26" sqref="N26"/>
    </sheetView>
  </sheetViews>
  <sheetFormatPr baseColWidth="10" defaultColWidth="11" defaultRowHeight="15" customHeight="1" x14ac:dyDescent="0.2"/>
  <cols>
    <col min="1" max="1" width="10.5" customWidth="1"/>
    <col min="2" max="2" width="29.1640625" customWidth="1"/>
    <col min="3" max="3" width="14" customWidth="1"/>
    <col min="4" max="4" width="9.83203125" customWidth="1"/>
    <col min="5" max="5" width="13.5" customWidth="1"/>
    <col min="6" max="7" width="11.33203125" customWidth="1"/>
    <col min="8" max="8" width="10.5" customWidth="1"/>
    <col min="9" max="9" width="3.5" customWidth="1"/>
    <col min="10" max="10" width="11.5" customWidth="1"/>
    <col min="11" max="11" width="8.1640625" bestFit="1" customWidth="1"/>
    <col min="12" max="12" width="12.83203125" customWidth="1"/>
    <col min="13" max="13" width="3.5" customWidth="1"/>
    <col min="14" max="14" width="14.33203125" bestFit="1" customWidth="1"/>
    <col min="15" max="17" width="10.5" customWidth="1"/>
    <col min="18" max="18" width="15.1640625" bestFit="1" customWidth="1"/>
    <col min="19" max="20" width="11" bestFit="1" customWidth="1"/>
    <col min="21" max="26" width="10.5" customWidth="1"/>
  </cols>
  <sheetData>
    <row r="1" spans="1:17" ht="16" x14ac:dyDescent="0.2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24" x14ac:dyDescent="0.3">
      <c r="A2" s="46"/>
      <c r="B2" s="87" t="s">
        <v>0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6"/>
    </row>
    <row r="3" spans="1:17" ht="16" x14ac:dyDescent="0.2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17" ht="16" x14ac:dyDescent="0.2">
      <c r="A4" s="46"/>
      <c r="B4" s="80"/>
      <c r="C4" s="80"/>
      <c r="D4" s="101" t="s">
        <v>1</v>
      </c>
      <c r="E4" s="102"/>
      <c r="F4" s="102"/>
      <c r="G4" s="102"/>
      <c r="H4" s="102"/>
      <c r="I4" s="80"/>
      <c r="J4" s="101" t="s">
        <v>2</v>
      </c>
      <c r="K4" s="102"/>
      <c r="L4" s="102"/>
      <c r="M4" s="80"/>
      <c r="N4" s="101" t="s">
        <v>3</v>
      </c>
      <c r="O4" s="102"/>
      <c r="P4" s="102"/>
      <c r="Q4" s="46"/>
    </row>
    <row r="5" spans="1:17" ht="34" x14ac:dyDescent="0.2">
      <c r="A5" s="46"/>
      <c r="B5" s="81" t="s">
        <v>4</v>
      </c>
      <c r="C5" s="81" t="s">
        <v>5</v>
      </c>
      <c r="D5" s="82" t="s">
        <v>6</v>
      </c>
      <c r="E5" s="82" t="s">
        <v>7</v>
      </c>
      <c r="F5" s="82" t="s">
        <v>8</v>
      </c>
      <c r="G5" s="82" t="s">
        <v>9</v>
      </c>
      <c r="H5" s="82" t="s">
        <v>10</v>
      </c>
      <c r="I5" s="83"/>
      <c r="J5" s="83" t="s">
        <v>11</v>
      </c>
      <c r="K5" s="83" t="s">
        <v>12</v>
      </c>
      <c r="L5" s="83" t="s">
        <v>13</v>
      </c>
      <c r="M5" s="83"/>
      <c r="N5" s="83" t="s">
        <v>14</v>
      </c>
      <c r="O5" s="83" t="s">
        <v>15</v>
      </c>
      <c r="P5" s="83" t="s">
        <v>16</v>
      </c>
      <c r="Q5" s="46"/>
    </row>
    <row r="6" spans="1:17" ht="9" customHeight="1" x14ac:dyDescent="0.2">
      <c r="A6" s="46"/>
      <c r="B6" s="48"/>
      <c r="C6" s="48"/>
      <c r="D6" s="49"/>
      <c r="E6" s="49"/>
      <c r="F6" s="49"/>
      <c r="G6" s="49"/>
      <c r="H6" s="49"/>
      <c r="I6" s="50"/>
      <c r="J6" s="50"/>
      <c r="K6" s="50"/>
      <c r="L6" s="50"/>
      <c r="M6" s="50"/>
      <c r="N6" s="50"/>
      <c r="O6" s="50"/>
      <c r="P6" s="50"/>
      <c r="Q6" s="46"/>
    </row>
    <row r="7" spans="1:17" ht="16" x14ac:dyDescent="0.2">
      <c r="A7" s="46"/>
      <c r="B7" s="51" t="s">
        <v>18</v>
      </c>
      <c r="C7" s="52" t="s">
        <v>19</v>
      </c>
      <c r="D7" s="88">
        <v>497.71</v>
      </c>
      <c r="E7" s="89">
        <v>47.6</v>
      </c>
      <c r="F7" s="53">
        <f t="shared" ref="F7:F12" si="0">D7*E7</f>
        <v>23690.995999999999</v>
      </c>
      <c r="G7" s="91">
        <v>2649</v>
      </c>
      <c r="H7" s="53">
        <f t="shared" ref="H7:H12" si="1">F7+G7</f>
        <v>26339.995999999999</v>
      </c>
      <c r="I7" s="54"/>
      <c r="J7" s="93">
        <v>5670</v>
      </c>
      <c r="K7" s="93">
        <v>1352</v>
      </c>
      <c r="L7" s="93">
        <v>819.2</v>
      </c>
      <c r="M7" s="53"/>
      <c r="N7" s="55">
        <f t="shared" ref="N7:N12" si="2">H7/L7</f>
        <v>32.153315429687495</v>
      </c>
      <c r="O7" s="55">
        <f t="shared" ref="O7:O12" si="3">H7/K7</f>
        <v>19.482245562130178</v>
      </c>
      <c r="P7" s="56">
        <f t="shared" ref="P7:P12" si="4">F7/L7</f>
        <v>28.919672851562499</v>
      </c>
      <c r="Q7" s="46"/>
    </row>
    <row r="8" spans="1:17" ht="16" x14ac:dyDescent="0.2">
      <c r="A8" s="46"/>
      <c r="B8" s="46" t="s">
        <v>20</v>
      </c>
      <c r="C8" s="57" t="s">
        <v>21</v>
      </c>
      <c r="D8" s="90">
        <v>272.99</v>
      </c>
      <c r="E8" s="98">
        <v>277.48500000000001</v>
      </c>
      <c r="F8" s="58">
        <f t="shared" si="0"/>
        <v>75750.630150000012</v>
      </c>
      <c r="G8" s="92">
        <v>9290</v>
      </c>
      <c r="H8" s="58">
        <f t="shared" si="1"/>
        <v>85040.630150000012</v>
      </c>
      <c r="I8" s="59"/>
      <c r="J8" s="94">
        <v>47716</v>
      </c>
      <c r="K8" s="94">
        <v>5682</v>
      </c>
      <c r="L8" s="94">
        <v>3788</v>
      </c>
      <c r="M8" s="58"/>
      <c r="N8" s="60">
        <f t="shared" si="2"/>
        <v>22.450007959345303</v>
      </c>
      <c r="O8" s="60">
        <f t="shared" si="3"/>
        <v>14.966671972896869</v>
      </c>
      <c r="P8" s="60">
        <f t="shared" si="4"/>
        <v>19.997526438753962</v>
      </c>
      <c r="Q8" s="46"/>
    </row>
    <row r="9" spans="1:17" ht="16" x14ac:dyDescent="0.2">
      <c r="A9" s="46"/>
      <c r="B9" s="46" t="s">
        <v>22</v>
      </c>
      <c r="C9" s="57" t="s">
        <v>23</v>
      </c>
      <c r="D9" s="90">
        <v>149.29</v>
      </c>
      <c r="E9" s="98">
        <v>174</v>
      </c>
      <c r="F9" s="58">
        <f t="shared" si="0"/>
        <v>25976.46</v>
      </c>
      <c r="G9" s="92">
        <v>1290</v>
      </c>
      <c r="H9" s="58">
        <f t="shared" si="1"/>
        <v>27266.46</v>
      </c>
      <c r="I9" s="59"/>
      <c r="J9" s="94">
        <v>4980</v>
      </c>
      <c r="K9" s="94">
        <v>1098</v>
      </c>
      <c r="L9" s="94">
        <v>610</v>
      </c>
      <c r="M9" s="58"/>
      <c r="N9" s="60">
        <f t="shared" si="2"/>
        <v>44.69911475409836</v>
      </c>
      <c r="O9" s="60">
        <f t="shared" si="3"/>
        <v>24.832841530054644</v>
      </c>
      <c r="P9" s="60">
        <f t="shared" si="4"/>
        <v>42.584360655737704</v>
      </c>
      <c r="Q9" s="46"/>
    </row>
    <row r="10" spans="1:17" ht="16" x14ac:dyDescent="0.2">
      <c r="A10" s="46"/>
      <c r="B10" s="46" t="s">
        <v>24</v>
      </c>
      <c r="C10" s="57" t="s">
        <v>25</v>
      </c>
      <c r="D10" s="90">
        <v>132.35</v>
      </c>
      <c r="E10" s="98">
        <v>1343.6</v>
      </c>
      <c r="F10" s="58">
        <f t="shared" si="0"/>
        <v>177825.46</v>
      </c>
      <c r="G10" s="92">
        <v>41262</v>
      </c>
      <c r="H10" s="58">
        <f t="shared" si="1"/>
        <v>219087.46</v>
      </c>
      <c r="I10" s="59"/>
      <c r="J10" s="94">
        <v>80700</v>
      </c>
      <c r="K10" s="94">
        <v>10902</v>
      </c>
      <c r="L10" s="94">
        <v>4774</v>
      </c>
      <c r="M10" s="58"/>
      <c r="N10" s="60">
        <f t="shared" si="2"/>
        <v>45.891801424382066</v>
      </c>
      <c r="O10" s="60">
        <f t="shared" si="3"/>
        <v>20.096079618418639</v>
      </c>
      <c r="P10" s="60">
        <f t="shared" si="4"/>
        <v>37.24873481357352</v>
      </c>
      <c r="Q10" s="46"/>
    </row>
    <row r="11" spans="1:17" ht="16" x14ac:dyDescent="0.2">
      <c r="A11" s="46"/>
      <c r="B11" s="46" t="s">
        <v>26</v>
      </c>
      <c r="C11" s="57" t="s">
        <v>27</v>
      </c>
      <c r="D11" s="90">
        <v>447.33</v>
      </c>
      <c r="E11" s="98">
        <v>239.2</v>
      </c>
      <c r="F11" s="58">
        <f t="shared" si="0"/>
        <v>107001.336</v>
      </c>
      <c r="G11" s="92">
        <v>20270</v>
      </c>
      <c r="H11" s="58">
        <f t="shared" si="1"/>
        <v>127271.336</v>
      </c>
      <c r="I11" s="59"/>
      <c r="J11" s="94">
        <v>71000</v>
      </c>
      <c r="K11" s="94">
        <v>8572</v>
      </c>
      <c r="L11" s="94">
        <v>5300</v>
      </c>
      <c r="M11" s="58"/>
      <c r="N11" s="60">
        <f t="shared" si="2"/>
        <v>24.013459622641509</v>
      </c>
      <c r="O11" s="60">
        <f t="shared" si="3"/>
        <v>14.847332711152589</v>
      </c>
      <c r="P11" s="60">
        <f t="shared" si="4"/>
        <v>20.188931320754715</v>
      </c>
      <c r="Q11" s="46"/>
    </row>
    <row r="12" spans="1:17" ht="16" x14ac:dyDescent="0.2">
      <c r="A12" s="46"/>
      <c r="B12" s="46" t="s">
        <v>29</v>
      </c>
      <c r="C12" s="57" t="s">
        <v>30</v>
      </c>
      <c r="D12" s="90">
        <v>511.96</v>
      </c>
      <c r="E12" s="98">
        <v>147</v>
      </c>
      <c r="F12" s="58">
        <f t="shared" si="0"/>
        <v>75258.12</v>
      </c>
      <c r="G12" s="92">
        <v>16274</v>
      </c>
      <c r="H12" s="58">
        <f t="shared" si="1"/>
        <v>91532.12</v>
      </c>
      <c r="I12" s="59"/>
      <c r="J12" s="94">
        <v>41030</v>
      </c>
      <c r="K12" s="94">
        <v>5740</v>
      </c>
      <c r="L12" s="94">
        <v>4170</v>
      </c>
      <c r="M12" s="58"/>
      <c r="N12" s="60">
        <f t="shared" si="2"/>
        <v>21.950148681055154</v>
      </c>
      <c r="O12" s="60">
        <f t="shared" si="3"/>
        <v>15.946362369337978</v>
      </c>
      <c r="P12" s="60">
        <f t="shared" si="4"/>
        <v>18.047510791366907</v>
      </c>
      <c r="Q12" s="46"/>
    </row>
    <row r="13" spans="1:17" ht="16" x14ac:dyDescent="0.2">
      <c r="A13" s="46"/>
      <c r="B13" s="46"/>
      <c r="C13" s="46"/>
      <c r="D13" s="46"/>
      <c r="E13" s="58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ht="16" x14ac:dyDescent="0.2">
      <c r="A14" s="46"/>
      <c r="B14" s="61" t="s">
        <v>31</v>
      </c>
      <c r="C14" s="61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3">
        <f>MAX(N8:N12)</f>
        <v>45.891801424382066</v>
      </c>
      <c r="O14" s="63">
        <f>MAX(O8:O12)</f>
        <v>24.832841530054644</v>
      </c>
      <c r="P14" s="63">
        <f>MAX(P8:P12)</f>
        <v>42.584360655737704</v>
      </c>
      <c r="Q14" s="46"/>
    </row>
    <row r="15" spans="1:17" ht="16" x14ac:dyDescent="0.2">
      <c r="A15" s="46"/>
      <c r="B15" s="61" t="s">
        <v>32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3">
        <f>QUARTILE(N8:N12,3)</f>
        <v>44.69911475409836</v>
      </c>
      <c r="O15" s="63">
        <f>QUARTILE(O8:O12,3)</f>
        <v>20.096079618418639</v>
      </c>
      <c r="P15" s="63">
        <f>QUARTILE(P8:P12,3)</f>
        <v>37.24873481357352</v>
      </c>
      <c r="Q15" s="46"/>
    </row>
    <row r="16" spans="1:17" ht="16" x14ac:dyDescent="0.2">
      <c r="A16" s="46"/>
      <c r="B16" s="64" t="s">
        <v>33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5">
        <f>AVERAGE(N8:N12)</f>
        <v>31.800906488304474</v>
      </c>
      <c r="O16" s="65">
        <f>AVERAGE(O8:O12)</f>
        <v>18.137857640372143</v>
      </c>
      <c r="P16" s="65">
        <f>AVERAGE(P8:P12)</f>
        <v>27.613412804037363</v>
      </c>
      <c r="Q16" s="46"/>
    </row>
    <row r="17" spans="1:17" ht="16" x14ac:dyDescent="0.2">
      <c r="A17" s="46"/>
      <c r="B17" s="64" t="s">
        <v>34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5">
        <f>MEDIAN(N8:N12)</f>
        <v>24.013459622641509</v>
      </c>
      <c r="O17" s="65">
        <f>MEDIAN(O8:O12)</f>
        <v>15.946362369337978</v>
      </c>
      <c r="P17" s="65">
        <f>MEDIAN(P8:P12)</f>
        <v>20.188931320754715</v>
      </c>
      <c r="Q17" s="46"/>
    </row>
    <row r="18" spans="1:17" ht="16" x14ac:dyDescent="0.2">
      <c r="A18" s="46"/>
      <c r="B18" s="61" t="s">
        <v>35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3">
        <f>QUARTILE(N8:N12,1)</f>
        <v>22.450007959345303</v>
      </c>
      <c r="O18" s="63">
        <f>QUARTILE(O8:O12,1)</f>
        <v>14.966671972896869</v>
      </c>
      <c r="P18" s="63">
        <f>QUARTILE(P8:P12,1)</f>
        <v>19.997526438753962</v>
      </c>
      <c r="Q18" s="46"/>
    </row>
    <row r="19" spans="1:17" ht="16" x14ac:dyDescent="0.2">
      <c r="A19" s="46"/>
      <c r="B19" s="61" t="s">
        <v>36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3">
        <f>MIN(N8:N12)</f>
        <v>21.950148681055154</v>
      </c>
      <c r="O19" s="63">
        <f>MIN(O8:O12)</f>
        <v>14.847332711152589</v>
      </c>
      <c r="P19" s="63">
        <f>MIN(P8:P12)</f>
        <v>18.047510791366907</v>
      </c>
      <c r="Q19" s="46"/>
    </row>
    <row r="20" spans="1:17" ht="16" x14ac:dyDescent="0.2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 spans="1:17" ht="16" x14ac:dyDescent="0.2">
      <c r="A21" s="46"/>
      <c r="B21" s="84" t="s">
        <v>37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6" t="s">
        <v>38</v>
      </c>
      <c r="O21" s="86" t="s">
        <v>15</v>
      </c>
      <c r="P21" s="86" t="s">
        <v>16</v>
      </c>
      <c r="Q21" s="46"/>
    </row>
    <row r="22" spans="1:17" ht="16" x14ac:dyDescent="0.2">
      <c r="A22" s="46"/>
      <c r="B22" s="46" t="s">
        <v>39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66">
        <f>L7*N16</f>
        <v>26051.302595219026</v>
      </c>
      <c r="O22" s="67">
        <f>K7*O16</f>
        <v>24522.383529783139</v>
      </c>
      <c r="P22" s="58">
        <f>P16*L7</f>
        <v>22620.907769067409</v>
      </c>
      <c r="Q22" s="46"/>
    </row>
    <row r="23" spans="1:17" ht="16" x14ac:dyDescent="0.2">
      <c r="A23" s="46"/>
      <c r="B23" s="46" t="s">
        <v>40</v>
      </c>
      <c r="C23" s="46"/>
      <c r="D23" s="46"/>
      <c r="E23" s="46"/>
      <c r="F23" s="46"/>
      <c r="G23" s="46"/>
      <c r="H23" s="46"/>
      <c r="I23" s="46"/>
      <c r="J23" s="68"/>
      <c r="K23" s="46"/>
      <c r="L23" s="46"/>
      <c r="M23" s="46"/>
      <c r="N23" s="58">
        <f>L7* N17</f>
        <v>19671.826122867926</v>
      </c>
      <c r="O23" s="58">
        <f>K7* O17</f>
        <v>21559.481923344945</v>
      </c>
      <c r="P23" s="58">
        <f>P17*L7</f>
        <v>16538.772537962264</v>
      </c>
      <c r="Q23" s="46"/>
    </row>
    <row r="24" spans="1:17" ht="16" x14ac:dyDescent="0.2">
      <c r="A24" s="46"/>
      <c r="B24" s="46" t="s">
        <v>9</v>
      </c>
      <c r="C24" s="46"/>
      <c r="D24" s="46"/>
      <c r="E24" s="46"/>
      <c r="F24" s="46"/>
      <c r="G24" s="59"/>
      <c r="H24" s="46"/>
      <c r="I24" s="46"/>
      <c r="J24" s="68"/>
      <c r="K24" s="46"/>
      <c r="L24" s="46"/>
      <c r="M24" s="46"/>
      <c r="N24" s="58">
        <f>$G$7</f>
        <v>2649</v>
      </c>
      <c r="O24" s="58">
        <f>$G$7</f>
        <v>2649</v>
      </c>
      <c r="P24" s="58">
        <f>$G$7</f>
        <v>2649</v>
      </c>
      <c r="Q24" s="46"/>
    </row>
    <row r="25" spans="1:17" ht="16" x14ac:dyDescent="0.2">
      <c r="A25" s="46"/>
      <c r="B25" s="46" t="s">
        <v>42</v>
      </c>
      <c r="C25" s="46"/>
      <c r="D25" s="46"/>
      <c r="E25" s="46"/>
      <c r="F25" s="46"/>
      <c r="G25" s="59"/>
      <c r="H25" s="46"/>
      <c r="I25" s="46"/>
      <c r="J25" s="68"/>
      <c r="K25" s="46"/>
      <c r="L25" s="46"/>
      <c r="M25" s="46"/>
      <c r="N25" s="58">
        <f>N22-N24</f>
        <v>23402.302595219026</v>
      </c>
      <c r="O25" s="58">
        <f>O22-O24</f>
        <v>21873.383529783139</v>
      </c>
      <c r="P25" s="58">
        <f>P22-P24</f>
        <v>19971.907769067409</v>
      </c>
      <c r="Q25" s="46"/>
    </row>
    <row r="26" spans="1:17" ht="16" x14ac:dyDescent="0.2">
      <c r="A26" s="46"/>
      <c r="B26" s="46" t="s">
        <v>7</v>
      </c>
      <c r="C26" s="46"/>
      <c r="D26" s="46"/>
      <c r="E26" s="46"/>
      <c r="F26" s="46"/>
      <c r="G26" s="59"/>
      <c r="H26" s="46"/>
      <c r="I26" s="46"/>
      <c r="J26" s="46"/>
      <c r="K26" s="46"/>
      <c r="L26" s="46"/>
      <c r="M26" s="46"/>
      <c r="N26" s="69">
        <f>$E$7</f>
        <v>47.6</v>
      </c>
      <c r="O26" s="69">
        <f>$E$7</f>
        <v>47.6</v>
      </c>
      <c r="P26" s="69">
        <f>$E$7</f>
        <v>47.6</v>
      </c>
      <c r="Q26" s="46"/>
    </row>
    <row r="27" spans="1:17" ht="16" x14ac:dyDescent="0.2">
      <c r="A27" s="46"/>
      <c r="B27" s="70" t="s">
        <v>44</v>
      </c>
      <c r="C27" s="70"/>
      <c r="D27" s="71"/>
      <c r="E27" s="71"/>
      <c r="F27" s="70"/>
      <c r="G27" s="72"/>
      <c r="H27" s="70"/>
      <c r="I27" s="70"/>
      <c r="J27" s="70"/>
      <c r="K27" s="70"/>
      <c r="L27" s="70"/>
      <c r="M27" s="70"/>
      <c r="N27" s="73">
        <f>N25/N26</f>
        <v>491.64501250460137</v>
      </c>
      <c r="O27" s="73">
        <f>O25/O26</f>
        <v>459.52486407107432</v>
      </c>
      <c r="P27" s="73">
        <f>P25/P26</f>
        <v>419.57789430813887</v>
      </c>
      <c r="Q27" s="74"/>
    </row>
    <row r="28" spans="1:17" ht="16" x14ac:dyDescent="0.2">
      <c r="A28" s="46"/>
      <c r="B28" s="75"/>
      <c r="C28" s="75"/>
      <c r="D28" s="76"/>
      <c r="E28" s="76"/>
      <c r="F28" s="75"/>
      <c r="G28" s="77"/>
      <c r="H28" s="75"/>
      <c r="I28" s="75"/>
      <c r="J28" s="75"/>
      <c r="K28" s="75"/>
      <c r="L28" s="75"/>
      <c r="M28" s="75"/>
      <c r="N28" s="78"/>
      <c r="O28" s="78"/>
      <c r="P28" s="78"/>
      <c r="Q28" s="74"/>
    </row>
    <row r="29" spans="1:17" ht="16" x14ac:dyDescent="0.2">
      <c r="A29" s="46"/>
      <c r="B29" s="79" t="s">
        <v>50</v>
      </c>
      <c r="C29" s="46"/>
      <c r="D29" s="68"/>
      <c r="E29" s="68"/>
      <c r="F29" s="46"/>
      <c r="G29" s="59"/>
      <c r="H29" s="46"/>
      <c r="I29" s="46"/>
      <c r="J29" s="46"/>
      <c r="K29" s="46"/>
      <c r="L29" s="46"/>
      <c r="M29" s="46"/>
      <c r="N29" s="46"/>
      <c r="O29" s="46"/>
      <c r="P29" s="95">
        <f>AVERAGE(N27:P27)</f>
        <v>456.91592362793818</v>
      </c>
      <c r="Q29" s="46"/>
    </row>
    <row r="30" spans="1:17" ht="16" x14ac:dyDescent="0.2">
      <c r="A30" s="46"/>
      <c r="B30" s="46"/>
      <c r="C30" s="46"/>
      <c r="D30" s="68"/>
      <c r="E30" s="68"/>
      <c r="F30" s="46"/>
      <c r="G30" s="59"/>
      <c r="H30" s="46"/>
      <c r="I30" s="46"/>
      <c r="J30" s="46"/>
      <c r="K30" s="46"/>
      <c r="L30" s="46"/>
      <c r="M30" s="46"/>
      <c r="N30" s="46"/>
      <c r="O30" s="46"/>
      <c r="P30" s="46"/>
      <c r="Q30" s="46"/>
    </row>
    <row r="31" spans="1:17" ht="16" x14ac:dyDescent="0.2">
      <c r="A31" s="46"/>
      <c r="B31" s="46"/>
      <c r="C31" s="46"/>
      <c r="D31" s="68"/>
      <c r="E31" s="68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</row>
    <row r="32" spans="1:17" ht="16" x14ac:dyDescent="0.2">
      <c r="D32" s="25"/>
      <c r="E32" s="25"/>
    </row>
    <row r="37" spans="16:20" ht="15" customHeight="1" x14ac:dyDescent="0.2">
      <c r="Q37" s="41">
        <f>AVERAGE(N27:P27)</f>
        <v>456.91592362793818</v>
      </c>
      <c r="R37" t="s">
        <v>47</v>
      </c>
    </row>
    <row r="39" spans="16:20" ht="15" customHeight="1" x14ac:dyDescent="0.2">
      <c r="P39" t="s">
        <v>49</v>
      </c>
      <c r="Q39" s="41">
        <f>AVERAGE(Q27:Q37,S47:S48)</f>
        <v>455.23990158759744</v>
      </c>
    </row>
    <row r="41" spans="16:20" ht="15" customHeight="1" x14ac:dyDescent="0.2">
      <c r="R41" t="s">
        <v>41</v>
      </c>
    </row>
    <row r="42" spans="16:20" ht="15" customHeight="1" x14ac:dyDescent="0.2">
      <c r="R42" s="43">
        <f>N22-N24</f>
        <v>23402.302595219026</v>
      </c>
      <c r="S42" s="43">
        <f>O22-O24</f>
        <v>21873.383529783139</v>
      </c>
      <c r="T42" s="43">
        <f>P22-P24</f>
        <v>19971.907769067409</v>
      </c>
    </row>
    <row r="43" spans="16:20" ht="15" customHeight="1" x14ac:dyDescent="0.2">
      <c r="R43">
        <v>48</v>
      </c>
      <c r="S43">
        <v>48</v>
      </c>
      <c r="T43">
        <v>48</v>
      </c>
    </row>
    <row r="44" spans="16:20" ht="15" customHeight="1" x14ac:dyDescent="0.2">
      <c r="R44" s="43">
        <f>R42/R43</f>
        <v>487.5479707337297</v>
      </c>
      <c r="S44" s="43">
        <f>S42/S43</f>
        <v>455.69549020381538</v>
      </c>
      <c r="T44" s="43">
        <f>T42/T43</f>
        <v>416.08141185557105</v>
      </c>
    </row>
    <row r="47" spans="16:20" ht="15" customHeight="1" x14ac:dyDescent="0.2">
      <c r="S47" s="43">
        <f>MEDIAN(R44:T44)</f>
        <v>455.69549020381538</v>
      </c>
      <c r="T47" t="s">
        <v>43</v>
      </c>
    </row>
    <row r="48" spans="16:20" ht="15" customHeight="1" x14ac:dyDescent="0.2">
      <c r="S48" s="43">
        <f>AVERAGE(R44:T44)</f>
        <v>453.10829093103871</v>
      </c>
      <c r="T48" t="s">
        <v>46</v>
      </c>
    </row>
  </sheetData>
  <mergeCells count="3">
    <mergeCell ref="D4:H4"/>
    <mergeCell ref="J4:L4"/>
    <mergeCell ref="N4:P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EEB97-095B-2B4A-ABB9-E8A61A1FAB1C}">
  <dimension ref="A1:U48"/>
  <sheetViews>
    <sheetView showGridLines="0" zoomScale="96" zoomScaleNormal="96" workbookViewId="0">
      <selection activeCell="P7" sqref="P7"/>
    </sheetView>
  </sheetViews>
  <sheetFormatPr baseColWidth="10" defaultColWidth="11" defaultRowHeight="15" customHeight="1" x14ac:dyDescent="0.2"/>
  <cols>
    <col min="1" max="1" width="10.5" customWidth="1"/>
    <col min="2" max="2" width="29.1640625" customWidth="1"/>
    <col min="3" max="3" width="14" customWidth="1"/>
    <col min="4" max="4" width="9.83203125" customWidth="1"/>
    <col min="5" max="5" width="13.5" customWidth="1"/>
    <col min="6" max="8" width="11.33203125" customWidth="1"/>
    <col min="9" max="9" width="11.83203125" customWidth="1"/>
    <col min="10" max="10" width="3.5" customWidth="1"/>
    <col min="11" max="11" width="9.33203125" bestFit="1" customWidth="1"/>
    <col min="12" max="12" width="8.5" bestFit="1" customWidth="1"/>
    <col min="13" max="13" width="7.6640625" customWidth="1"/>
    <col min="14" max="14" width="3.5" customWidth="1"/>
    <col min="15" max="15" width="14.33203125" bestFit="1" customWidth="1"/>
    <col min="16" max="18" width="10.5" customWidth="1"/>
    <col min="19" max="19" width="15.1640625" bestFit="1" customWidth="1"/>
    <col min="20" max="21" width="11" bestFit="1" customWidth="1"/>
    <col min="22" max="27" width="10.5" customWidth="1"/>
  </cols>
  <sheetData>
    <row r="1" spans="1:18" ht="16" x14ac:dyDescent="0.2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8" ht="24" x14ac:dyDescent="0.3">
      <c r="A2" s="46"/>
      <c r="B2" s="87" t="s">
        <v>0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6"/>
    </row>
    <row r="3" spans="1:18" ht="16" x14ac:dyDescent="0.2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</row>
    <row r="4" spans="1:18" ht="16" x14ac:dyDescent="0.2">
      <c r="A4" s="46"/>
      <c r="B4" s="80"/>
      <c r="C4" s="80"/>
      <c r="D4" s="101" t="s">
        <v>1</v>
      </c>
      <c r="E4" s="102"/>
      <c r="F4" s="102"/>
      <c r="G4" s="102"/>
      <c r="H4" s="102"/>
      <c r="I4" s="102"/>
      <c r="J4" s="80"/>
      <c r="K4" s="101" t="s">
        <v>2</v>
      </c>
      <c r="L4" s="102"/>
      <c r="M4" s="102"/>
      <c r="N4" s="80"/>
      <c r="O4" s="101" t="s">
        <v>3</v>
      </c>
      <c r="P4" s="102"/>
      <c r="Q4" s="102"/>
      <c r="R4" s="46"/>
    </row>
    <row r="5" spans="1:18" ht="34" x14ac:dyDescent="0.2">
      <c r="A5" s="46"/>
      <c r="B5" s="81" t="s">
        <v>4</v>
      </c>
      <c r="C5" s="81" t="s">
        <v>5</v>
      </c>
      <c r="D5" s="82" t="s">
        <v>6</v>
      </c>
      <c r="E5" s="82" t="s">
        <v>7</v>
      </c>
      <c r="F5" s="82" t="s">
        <v>8</v>
      </c>
      <c r="G5" s="82" t="s">
        <v>9</v>
      </c>
      <c r="H5" s="82" t="s">
        <v>51</v>
      </c>
      <c r="I5" s="82" t="s">
        <v>10</v>
      </c>
      <c r="J5" s="83"/>
      <c r="K5" s="83" t="s">
        <v>11</v>
      </c>
      <c r="L5" s="83" t="s">
        <v>12</v>
      </c>
      <c r="M5" s="83" t="s">
        <v>17</v>
      </c>
      <c r="N5" s="83"/>
      <c r="O5" s="83" t="s">
        <v>52</v>
      </c>
      <c r="P5" s="83" t="s">
        <v>15</v>
      </c>
      <c r="Q5" s="83" t="s">
        <v>16</v>
      </c>
      <c r="R5" s="46"/>
    </row>
    <row r="6" spans="1:18" ht="9" customHeight="1" x14ac:dyDescent="0.2">
      <c r="A6" s="46"/>
      <c r="B6" s="48"/>
      <c r="C6" s="48"/>
      <c r="D6" s="49"/>
      <c r="E6" s="49"/>
      <c r="F6" s="49"/>
      <c r="G6" s="49"/>
      <c r="H6" s="49"/>
      <c r="I6" s="49"/>
      <c r="J6" s="50"/>
      <c r="K6" s="50"/>
      <c r="L6" s="50"/>
      <c r="M6" s="50"/>
      <c r="N6" s="50"/>
      <c r="O6" s="50"/>
      <c r="P6" s="50"/>
      <c r="Q6" s="50"/>
      <c r="R6" s="46"/>
    </row>
    <row r="7" spans="1:18" ht="16" x14ac:dyDescent="0.2">
      <c r="A7" s="46"/>
      <c r="B7" s="51" t="s">
        <v>18</v>
      </c>
      <c r="C7" s="52" t="s">
        <v>19</v>
      </c>
      <c r="D7" s="88">
        <v>497.71</v>
      </c>
      <c r="E7" s="89">
        <v>47.6</v>
      </c>
      <c r="F7" s="53">
        <f t="shared" ref="F7:F12" si="0">D7*E7</f>
        <v>23690.995999999999</v>
      </c>
      <c r="G7" s="91">
        <v>2649</v>
      </c>
      <c r="H7" s="91">
        <v>650</v>
      </c>
      <c r="I7" s="53">
        <f>F7+G7-H7</f>
        <v>25689.995999999999</v>
      </c>
      <c r="J7" s="54"/>
      <c r="K7" s="93">
        <v>5670</v>
      </c>
      <c r="L7" s="93">
        <v>1352</v>
      </c>
      <c r="M7" s="93">
        <v>1108</v>
      </c>
      <c r="N7" s="53"/>
      <c r="O7" s="55">
        <f t="shared" ref="O7:O12" si="1">I7/M7</f>
        <v>23.185916967509023</v>
      </c>
      <c r="P7" s="55">
        <f t="shared" ref="P7:P12" si="2">I7/L7</f>
        <v>19.001476331360948</v>
      </c>
      <c r="Q7" s="56">
        <f t="shared" ref="Q7:Q12" si="3">F7/M7</f>
        <v>21.381765342960289</v>
      </c>
      <c r="R7" s="46"/>
    </row>
    <row r="8" spans="1:18" ht="16" x14ac:dyDescent="0.2">
      <c r="A8" s="46"/>
      <c r="B8" s="46" t="s">
        <v>20</v>
      </c>
      <c r="C8" s="57" t="s">
        <v>21</v>
      </c>
      <c r="D8" s="90">
        <v>272.99</v>
      </c>
      <c r="E8" s="98">
        <v>277.48500000000001</v>
      </c>
      <c r="F8" s="58">
        <f t="shared" si="0"/>
        <v>75750.630150000012</v>
      </c>
      <c r="G8" s="92">
        <v>9290</v>
      </c>
      <c r="H8" s="92">
        <v>1697</v>
      </c>
      <c r="I8" s="58">
        <f t="shared" ref="I8:I12" si="4">F8+G8-H8</f>
        <v>83343.630150000012</v>
      </c>
      <c r="J8" s="59"/>
      <c r="K8" s="94">
        <v>47716</v>
      </c>
      <c r="L8" s="94">
        <v>5682</v>
      </c>
      <c r="M8" s="94">
        <v>3196</v>
      </c>
      <c r="N8" s="58"/>
      <c r="O8" s="60">
        <f t="shared" si="1"/>
        <v>26.077481273466837</v>
      </c>
      <c r="P8" s="60">
        <f t="shared" si="2"/>
        <v>14.668009530095039</v>
      </c>
      <c r="Q8" s="60">
        <f t="shared" si="3"/>
        <v>23.701699045682105</v>
      </c>
      <c r="R8" s="46"/>
    </row>
    <row r="9" spans="1:18" ht="16" x14ac:dyDescent="0.2">
      <c r="A9" s="46"/>
      <c r="B9" s="46" t="s">
        <v>22</v>
      </c>
      <c r="C9" s="57" t="s">
        <v>23</v>
      </c>
      <c r="D9" s="90">
        <v>149.29</v>
      </c>
      <c r="E9" s="98">
        <v>174</v>
      </c>
      <c r="F9" s="58">
        <f t="shared" si="0"/>
        <v>25976.46</v>
      </c>
      <c r="G9" s="92">
        <v>1290</v>
      </c>
      <c r="H9" s="92">
        <v>2060</v>
      </c>
      <c r="I9" s="58">
        <f t="shared" si="4"/>
        <v>25206.46</v>
      </c>
      <c r="J9" s="59"/>
      <c r="K9" s="94">
        <v>4980</v>
      </c>
      <c r="L9" s="94">
        <v>1264</v>
      </c>
      <c r="M9" s="94">
        <v>898</v>
      </c>
      <c r="N9" s="58"/>
      <c r="O9" s="60">
        <f t="shared" si="1"/>
        <v>28.069554565701559</v>
      </c>
      <c r="P9" s="60">
        <f t="shared" si="2"/>
        <v>19.941819620253163</v>
      </c>
      <c r="Q9" s="60">
        <f t="shared" si="3"/>
        <v>28.927015590200444</v>
      </c>
      <c r="R9" s="46"/>
    </row>
    <row r="10" spans="1:18" ht="16" x14ac:dyDescent="0.2">
      <c r="A10" s="46"/>
      <c r="B10" s="46" t="s">
        <v>24</v>
      </c>
      <c r="C10" s="57" t="s">
        <v>25</v>
      </c>
      <c r="D10" s="90">
        <v>132.35</v>
      </c>
      <c r="E10" s="98">
        <v>1343.6</v>
      </c>
      <c r="F10" s="58">
        <f t="shared" si="0"/>
        <v>177825.46</v>
      </c>
      <c r="G10" s="92">
        <v>41262</v>
      </c>
      <c r="H10" s="92">
        <v>5578</v>
      </c>
      <c r="I10" s="58">
        <f t="shared" si="4"/>
        <v>213509.46</v>
      </c>
      <c r="J10" s="59"/>
      <c r="K10" s="94">
        <v>80700</v>
      </c>
      <c r="L10" s="94">
        <v>14078</v>
      </c>
      <c r="M10" s="94">
        <v>3923</v>
      </c>
      <c r="N10" s="58"/>
      <c r="O10" s="60">
        <f t="shared" si="1"/>
        <v>54.425047157787404</v>
      </c>
      <c r="P10" s="60">
        <f t="shared" si="2"/>
        <v>15.166178434436709</v>
      </c>
      <c r="Q10" s="60">
        <f t="shared" si="3"/>
        <v>45.328947234259495</v>
      </c>
      <c r="R10" s="46"/>
    </row>
    <row r="11" spans="1:18" ht="16" x14ac:dyDescent="0.2">
      <c r="A11" s="46"/>
      <c r="B11" s="46" t="s">
        <v>26</v>
      </c>
      <c r="C11" s="57" t="s">
        <v>27</v>
      </c>
      <c r="D11" s="90">
        <v>447.33</v>
      </c>
      <c r="E11" s="98">
        <v>239.2</v>
      </c>
      <c r="F11" s="58">
        <f t="shared" si="0"/>
        <v>107001.336</v>
      </c>
      <c r="G11" s="92">
        <v>20270</v>
      </c>
      <c r="H11" s="92">
        <v>2483</v>
      </c>
      <c r="I11" s="58">
        <f t="shared" si="4"/>
        <v>124788.336</v>
      </c>
      <c r="J11" s="59"/>
      <c r="K11" s="94">
        <v>71000</v>
      </c>
      <c r="L11" s="94">
        <v>8604</v>
      </c>
      <c r="M11" s="94">
        <v>5297</v>
      </c>
      <c r="N11" s="58"/>
      <c r="O11" s="60">
        <f t="shared" si="1"/>
        <v>23.5583039456296</v>
      </c>
      <c r="P11" s="60">
        <f t="shared" si="2"/>
        <v>14.503525801952581</v>
      </c>
      <c r="Q11" s="60">
        <f>F11/M11</f>
        <v>20.200365489899944</v>
      </c>
      <c r="R11" s="46"/>
    </row>
    <row r="12" spans="1:18" ht="16" x14ac:dyDescent="0.2">
      <c r="A12" s="46"/>
      <c r="B12" s="46" t="s">
        <v>29</v>
      </c>
      <c r="C12" s="57" t="s">
        <v>30</v>
      </c>
      <c r="D12" s="90">
        <v>511.96</v>
      </c>
      <c r="E12" s="98">
        <v>147</v>
      </c>
      <c r="F12" s="58">
        <f t="shared" si="0"/>
        <v>75258.12</v>
      </c>
      <c r="G12" s="92">
        <v>16274</v>
      </c>
      <c r="H12" s="92">
        <v>4353</v>
      </c>
      <c r="I12" s="58">
        <f t="shared" si="4"/>
        <v>87179.12</v>
      </c>
      <c r="J12" s="59"/>
      <c r="K12" s="94">
        <v>41030</v>
      </c>
      <c r="L12" s="94">
        <v>5740</v>
      </c>
      <c r="M12" s="94">
        <v>2621</v>
      </c>
      <c r="N12" s="58"/>
      <c r="O12" s="60">
        <f t="shared" si="1"/>
        <v>33.261777947348335</v>
      </c>
      <c r="P12" s="60">
        <f t="shared" si="2"/>
        <v>15.187999999999999</v>
      </c>
      <c r="Q12" s="60">
        <f t="shared" si="3"/>
        <v>28.713513925982447</v>
      </c>
      <c r="R12" s="46"/>
    </row>
    <row r="13" spans="1:18" ht="16" x14ac:dyDescent="0.2">
      <c r="A13" s="46"/>
      <c r="B13" s="46"/>
      <c r="C13" s="46"/>
      <c r="D13" s="46"/>
      <c r="E13" s="58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</row>
    <row r="14" spans="1:18" ht="16" x14ac:dyDescent="0.2">
      <c r="A14" s="46"/>
      <c r="B14" s="61" t="s">
        <v>31</v>
      </c>
      <c r="C14" s="61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3">
        <f>MAX(O8:O12)</f>
        <v>54.425047157787404</v>
      </c>
      <c r="P14" s="63">
        <f>MAX(P8:P12)</f>
        <v>19.941819620253163</v>
      </c>
      <c r="Q14" s="63">
        <f>MAX(Q8:Q12)</f>
        <v>45.328947234259495</v>
      </c>
      <c r="R14" s="46"/>
    </row>
    <row r="15" spans="1:18" ht="16" x14ac:dyDescent="0.2">
      <c r="A15" s="46"/>
      <c r="B15" s="61" t="s">
        <v>32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3">
        <f>QUARTILE(O8:O12,3)</f>
        <v>33.261777947348335</v>
      </c>
      <c r="P15" s="63">
        <f>QUARTILE(P8:P12,3)</f>
        <v>15.187999999999999</v>
      </c>
      <c r="Q15" s="63">
        <f>QUARTILE(Q8:Q12,3)</f>
        <v>28.927015590200444</v>
      </c>
      <c r="R15" s="46"/>
    </row>
    <row r="16" spans="1:18" ht="16" x14ac:dyDescent="0.2">
      <c r="A16" s="46"/>
      <c r="B16" s="64" t="s">
        <v>33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5">
        <f>AVERAGE(O8:O12)</f>
        <v>33.078432977986743</v>
      </c>
      <c r="P16" s="65">
        <f>AVERAGE(P8:P12)</f>
        <v>15.893506677347499</v>
      </c>
      <c r="Q16" s="65">
        <f>AVERAGE(Q8:Q12)</f>
        <v>29.374308257204888</v>
      </c>
      <c r="R16" s="46"/>
    </row>
    <row r="17" spans="1:18" ht="16" x14ac:dyDescent="0.2">
      <c r="A17" s="46"/>
      <c r="B17" s="64" t="s">
        <v>34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5">
        <f>MEDIAN(O8:O12)</f>
        <v>28.069554565701559</v>
      </c>
      <c r="P17" s="65">
        <f>MEDIAN(P8:P12)</f>
        <v>15.166178434436709</v>
      </c>
      <c r="Q17" s="65">
        <f>MEDIAN(Q8:Q12)</f>
        <v>28.713513925982447</v>
      </c>
      <c r="R17" s="46"/>
    </row>
    <row r="18" spans="1:18" ht="16" x14ac:dyDescent="0.2">
      <c r="A18" s="46"/>
      <c r="B18" s="61" t="s">
        <v>35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3">
        <f>QUARTILE(O8:O12,1)</f>
        <v>26.077481273466837</v>
      </c>
      <c r="P18" s="63">
        <f>QUARTILE(P8:P12,1)</f>
        <v>14.668009530095039</v>
      </c>
      <c r="Q18" s="63">
        <f>QUARTILE(Q8:Q12,1)</f>
        <v>23.701699045682105</v>
      </c>
      <c r="R18" s="46"/>
    </row>
    <row r="19" spans="1:18" ht="16" x14ac:dyDescent="0.2">
      <c r="A19" s="46"/>
      <c r="B19" s="61" t="s">
        <v>36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3">
        <f>MIN(O8:O12)</f>
        <v>23.5583039456296</v>
      </c>
      <c r="P19" s="63">
        <f>MIN(P8:P12)</f>
        <v>14.503525801952581</v>
      </c>
      <c r="Q19" s="63">
        <f>MIN(Q8:Q12)</f>
        <v>20.200365489899944</v>
      </c>
      <c r="R19" s="46"/>
    </row>
    <row r="20" spans="1:18" ht="16" x14ac:dyDescent="0.2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</row>
    <row r="21" spans="1:18" ht="16" x14ac:dyDescent="0.2">
      <c r="A21" s="46"/>
      <c r="B21" s="84" t="s">
        <v>37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6" t="s">
        <v>52</v>
      </c>
      <c r="P21" s="86" t="s">
        <v>15</v>
      </c>
      <c r="Q21" s="86" t="s">
        <v>16</v>
      </c>
      <c r="R21" s="46"/>
    </row>
    <row r="22" spans="1:18" ht="16" x14ac:dyDescent="0.2">
      <c r="A22" s="46"/>
      <c r="B22" s="46" t="s">
        <v>39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66">
        <f>M7*O16</f>
        <v>36650.903739609312</v>
      </c>
      <c r="P22" s="67">
        <f>L7*P16</f>
        <v>21488.021027773819</v>
      </c>
      <c r="Q22" s="58">
        <f>Q16*M7</f>
        <v>32546.733548983015</v>
      </c>
      <c r="R22" s="46"/>
    </row>
    <row r="23" spans="1:18" ht="16" x14ac:dyDescent="0.2">
      <c r="A23" s="46"/>
      <c r="B23" s="46" t="s">
        <v>40</v>
      </c>
      <c r="C23" s="46"/>
      <c r="D23" s="46"/>
      <c r="E23" s="46"/>
      <c r="F23" s="46"/>
      <c r="G23" s="46"/>
      <c r="H23" s="46"/>
      <c r="I23" s="46"/>
      <c r="J23" s="46"/>
      <c r="K23" s="68"/>
      <c r="L23" s="46"/>
      <c r="M23" s="46"/>
      <c r="N23" s="46"/>
      <c r="O23" s="58">
        <f>M7* O17</f>
        <v>31101.066458797326</v>
      </c>
      <c r="P23" s="58">
        <f>L7* P17</f>
        <v>20504.673243358429</v>
      </c>
      <c r="Q23" s="58">
        <f>Q17*M7</f>
        <v>31814.573429988552</v>
      </c>
      <c r="R23" s="46"/>
    </row>
    <row r="24" spans="1:18" ht="16" x14ac:dyDescent="0.2">
      <c r="A24" s="46"/>
      <c r="B24" s="46" t="s">
        <v>9</v>
      </c>
      <c r="C24" s="46"/>
      <c r="D24" s="46"/>
      <c r="E24" s="46"/>
      <c r="F24" s="46"/>
      <c r="G24" s="59"/>
      <c r="H24" s="59"/>
      <c r="I24" s="46"/>
      <c r="J24" s="46"/>
      <c r="K24" s="68"/>
      <c r="L24" s="46"/>
      <c r="M24" s="46"/>
      <c r="N24" s="46"/>
      <c r="O24" s="58">
        <f>$G$7</f>
        <v>2649</v>
      </c>
      <c r="P24" s="58">
        <f>$G$7</f>
        <v>2649</v>
      </c>
      <c r="Q24" s="58">
        <f>$G$7</f>
        <v>2649</v>
      </c>
      <c r="R24" s="46"/>
    </row>
    <row r="25" spans="1:18" ht="16" x14ac:dyDescent="0.2">
      <c r="A25" s="46"/>
      <c r="B25" s="46" t="s">
        <v>42</v>
      </c>
      <c r="C25" s="46"/>
      <c r="D25" s="46"/>
      <c r="E25" s="46"/>
      <c r="F25" s="46"/>
      <c r="G25" s="59"/>
      <c r="H25" s="59"/>
      <c r="I25" s="46"/>
      <c r="J25" s="46"/>
      <c r="K25" s="68"/>
      <c r="L25" s="46"/>
      <c r="M25" s="46"/>
      <c r="N25" s="46"/>
      <c r="O25" s="58">
        <f>O23-O24</f>
        <v>28452.066458797326</v>
      </c>
      <c r="P25" s="58">
        <f>P23-P24</f>
        <v>17855.673243358429</v>
      </c>
      <c r="Q25" s="58">
        <f>Q23-Q24</f>
        <v>29165.573429988552</v>
      </c>
      <c r="R25" s="46"/>
    </row>
    <row r="26" spans="1:18" ht="16" x14ac:dyDescent="0.2">
      <c r="A26" s="46"/>
      <c r="B26" s="46" t="s">
        <v>7</v>
      </c>
      <c r="C26" s="46"/>
      <c r="D26" s="46"/>
      <c r="E26" s="46"/>
      <c r="F26" s="46"/>
      <c r="G26" s="59"/>
      <c r="H26" s="59"/>
      <c r="I26" s="46"/>
      <c r="J26" s="46"/>
      <c r="K26" s="46"/>
      <c r="L26" s="46"/>
      <c r="M26" s="46"/>
      <c r="N26" s="46"/>
      <c r="O26" s="69">
        <f>$E$7</f>
        <v>47.6</v>
      </c>
      <c r="P26" s="69">
        <f>$E$7</f>
        <v>47.6</v>
      </c>
      <c r="Q26" s="69">
        <f>$E$7</f>
        <v>47.6</v>
      </c>
      <c r="R26" s="46"/>
    </row>
    <row r="27" spans="1:18" ht="16" x14ac:dyDescent="0.2">
      <c r="A27" s="46"/>
      <c r="B27" s="70" t="s">
        <v>44</v>
      </c>
      <c r="C27" s="70"/>
      <c r="D27" s="71"/>
      <c r="E27" s="71"/>
      <c r="F27" s="70"/>
      <c r="G27" s="72"/>
      <c r="H27" s="72"/>
      <c r="I27" s="70"/>
      <c r="J27" s="70"/>
      <c r="K27" s="70"/>
      <c r="L27" s="70"/>
      <c r="M27" s="70"/>
      <c r="N27" s="70"/>
      <c r="O27" s="73">
        <f>O25/O26</f>
        <v>597.73248863019592</v>
      </c>
      <c r="P27" s="73">
        <f>P25/P26</f>
        <v>375.11918578484097</v>
      </c>
      <c r="Q27" s="73">
        <f>Q25/Q26</f>
        <v>612.72213088211242</v>
      </c>
      <c r="R27" s="74"/>
    </row>
    <row r="28" spans="1:18" ht="16" x14ac:dyDescent="0.2">
      <c r="A28" s="46"/>
      <c r="B28" s="75"/>
      <c r="C28" s="75"/>
      <c r="D28" s="76"/>
      <c r="E28" s="76"/>
      <c r="F28" s="75"/>
      <c r="G28" s="77"/>
      <c r="H28" s="77"/>
      <c r="I28" s="75"/>
      <c r="J28" s="75"/>
      <c r="K28" s="75"/>
      <c r="L28" s="75"/>
      <c r="M28" s="75"/>
      <c r="N28" s="75"/>
      <c r="O28" s="78"/>
      <c r="P28" s="78"/>
      <c r="Q28" s="78"/>
      <c r="R28" s="74"/>
    </row>
    <row r="29" spans="1:18" ht="16" x14ac:dyDescent="0.2">
      <c r="A29" s="46"/>
      <c r="B29" s="79" t="s">
        <v>50</v>
      </c>
      <c r="C29" s="46"/>
      <c r="D29" s="68"/>
      <c r="E29" s="68"/>
      <c r="F29" s="46"/>
      <c r="G29" s="59"/>
      <c r="H29" s="59"/>
      <c r="I29" s="46"/>
      <c r="J29" s="46"/>
      <c r="K29" s="46"/>
      <c r="L29" s="46"/>
      <c r="M29" s="46"/>
      <c r="N29" s="46"/>
      <c r="O29" s="46"/>
      <c r="P29" s="46"/>
      <c r="Q29" s="95">
        <f>AVERAGE(O27:Q27)</f>
        <v>528.5246017657164</v>
      </c>
      <c r="R29" s="46"/>
    </row>
    <row r="30" spans="1:18" ht="16" x14ac:dyDescent="0.2">
      <c r="A30" s="46"/>
      <c r="B30" s="46"/>
      <c r="C30" s="46"/>
      <c r="D30" s="68"/>
      <c r="E30" s="68"/>
      <c r="F30" s="46"/>
      <c r="G30" s="59"/>
      <c r="H30" s="59"/>
      <c r="I30" s="46"/>
      <c r="J30" s="46"/>
      <c r="K30" s="46"/>
      <c r="L30" s="46"/>
      <c r="M30" s="46"/>
      <c r="N30" s="46"/>
      <c r="O30" s="46"/>
      <c r="P30" s="46"/>
      <c r="Q30" s="46"/>
      <c r="R30" s="46"/>
    </row>
    <row r="31" spans="1:18" ht="16" x14ac:dyDescent="0.2">
      <c r="A31" s="46"/>
      <c r="B31" s="46"/>
      <c r="C31" s="46"/>
      <c r="D31" s="68"/>
      <c r="E31" s="68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</row>
    <row r="32" spans="1:18" ht="16" x14ac:dyDescent="0.2">
      <c r="D32" s="25"/>
      <c r="E32" s="25"/>
    </row>
    <row r="37" spans="17:21" ht="15" customHeight="1" x14ac:dyDescent="0.2">
      <c r="R37" s="41">
        <f>AVERAGE(O27:Q27)</f>
        <v>528.5246017657164</v>
      </c>
      <c r="S37" t="s">
        <v>47</v>
      </c>
    </row>
    <row r="39" spans="17:21" ht="15" customHeight="1" x14ac:dyDescent="0.2">
      <c r="Q39" t="s">
        <v>49</v>
      </c>
      <c r="R39" s="41">
        <f>AVERAGE(R27:R37,T47:T48)</f>
        <v>575.32268892957939</v>
      </c>
    </row>
    <row r="41" spans="17:21" ht="15" customHeight="1" x14ac:dyDescent="0.2">
      <c r="S41" t="s">
        <v>41</v>
      </c>
    </row>
    <row r="42" spans="17:21" ht="15" customHeight="1" x14ac:dyDescent="0.2">
      <c r="S42" s="43">
        <f>O22-O24</f>
        <v>34001.903739609312</v>
      </c>
      <c r="T42" s="43">
        <f>P22-P24</f>
        <v>18839.021027773819</v>
      </c>
      <c r="U42" s="43">
        <f>Q22-Q24</f>
        <v>29897.733548983015</v>
      </c>
    </row>
    <row r="43" spans="17:21" ht="15" customHeight="1" x14ac:dyDescent="0.2">
      <c r="S43">
        <v>48</v>
      </c>
      <c r="T43">
        <v>48</v>
      </c>
      <c r="U43">
        <v>48</v>
      </c>
    </row>
    <row r="44" spans="17:21" ht="15" customHeight="1" x14ac:dyDescent="0.2">
      <c r="S44" s="43">
        <f>S42/S43</f>
        <v>708.37299457519396</v>
      </c>
      <c r="T44" s="43">
        <f>T42/T43</f>
        <v>392.47960474528787</v>
      </c>
      <c r="U44" s="43">
        <f>U42/U43</f>
        <v>622.8694489371461</v>
      </c>
    </row>
    <row r="47" spans="17:21" ht="15" customHeight="1" x14ac:dyDescent="0.2">
      <c r="T47" s="43">
        <f>MEDIAN(S44:U44)</f>
        <v>622.8694489371461</v>
      </c>
      <c r="U47" t="s">
        <v>43</v>
      </c>
    </row>
    <row r="48" spans="17:21" ht="15" customHeight="1" x14ac:dyDescent="0.2">
      <c r="T48" s="43">
        <f>AVERAGE(S44:U44)</f>
        <v>574.574016085876</v>
      </c>
      <c r="U48" t="s">
        <v>46</v>
      </c>
    </row>
  </sheetData>
  <mergeCells count="3">
    <mergeCell ref="D4:I4"/>
    <mergeCell ref="K4:M4"/>
    <mergeCell ref="O4:Q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CF90-7838-F849-9DDF-3C3D83AC83F2}">
  <dimension ref="B1:V31"/>
  <sheetViews>
    <sheetView showGridLines="0" topLeftCell="B2" zoomScale="80" zoomScaleNormal="80" workbookViewId="0">
      <selection activeCell="N17" sqref="N17"/>
    </sheetView>
  </sheetViews>
  <sheetFormatPr baseColWidth="10" defaultColWidth="11" defaultRowHeight="15" customHeight="1" x14ac:dyDescent="0.2"/>
  <cols>
    <col min="1" max="1" width="10.5" customWidth="1"/>
    <col min="2" max="2" width="43.33203125" bestFit="1" customWidth="1"/>
    <col min="3" max="3" width="14" customWidth="1"/>
    <col min="4" max="4" width="10.33203125" customWidth="1"/>
    <col min="5" max="5" width="11.5" customWidth="1"/>
    <col min="6" max="7" width="11.33203125" customWidth="1"/>
    <col min="8" max="8" width="10.5" customWidth="1"/>
    <col min="9" max="9" width="3.5" customWidth="1"/>
    <col min="10" max="10" width="11.5" customWidth="1"/>
    <col min="11" max="12" width="10.5" customWidth="1"/>
    <col min="13" max="13" width="3.5" customWidth="1"/>
    <col min="14" max="14" width="11.5" customWidth="1"/>
    <col min="15" max="26" width="10.5" customWidth="1"/>
  </cols>
  <sheetData>
    <row r="1" spans="2:16" ht="16" x14ac:dyDescent="0.2"/>
    <row r="2" spans="2:16" ht="24" x14ac:dyDescent="0.3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16" x14ac:dyDescent="0.2"/>
    <row r="4" spans="2:16" ht="16" x14ac:dyDescent="0.2">
      <c r="B4" s="4"/>
      <c r="C4" s="4"/>
      <c r="D4" s="99" t="s">
        <v>1</v>
      </c>
      <c r="E4" s="100"/>
      <c r="F4" s="100"/>
      <c r="G4" s="100"/>
      <c r="H4" s="100"/>
      <c r="I4" s="4"/>
      <c r="J4" s="99" t="s">
        <v>2</v>
      </c>
      <c r="K4" s="100"/>
      <c r="L4" s="100"/>
      <c r="M4" s="4"/>
      <c r="N4" s="99" t="s">
        <v>3</v>
      </c>
      <c r="O4" s="100"/>
      <c r="P4" s="100"/>
    </row>
    <row r="5" spans="2:16" ht="34" x14ac:dyDescent="0.2">
      <c r="B5" s="5" t="s">
        <v>4</v>
      </c>
      <c r="C5" s="5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7"/>
      <c r="J5" s="7" t="s">
        <v>11</v>
      </c>
      <c r="K5" s="7" t="s">
        <v>12</v>
      </c>
      <c r="L5" s="7" t="s">
        <v>13</v>
      </c>
      <c r="M5" s="7"/>
      <c r="N5" s="7" t="s">
        <v>53</v>
      </c>
      <c r="O5" s="7" t="s">
        <v>15</v>
      </c>
      <c r="P5" s="7" t="s">
        <v>16</v>
      </c>
    </row>
    <row r="6" spans="2:16" ht="9" customHeight="1" x14ac:dyDescent="0.2">
      <c r="B6" s="8"/>
      <c r="C6" s="8"/>
      <c r="D6" s="9"/>
      <c r="E6" s="9"/>
      <c r="F6" s="9"/>
      <c r="G6" s="9"/>
      <c r="H6" s="9"/>
      <c r="I6" s="10"/>
      <c r="J6" s="10"/>
      <c r="K6" s="10"/>
      <c r="L6" s="10"/>
      <c r="M6" s="10"/>
      <c r="N6" s="10"/>
      <c r="O6" s="10"/>
      <c r="P6" s="10"/>
    </row>
    <row r="7" spans="2:16" ht="16" x14ac:dyDescent="0.2">
      <c r="B7" s="11" t="s">
        <v>18</v>
      </c>
      <c r="C7" s="12" t="s">
        <v>19</v>
      </c>
      <c r="D7" s="32">
        <v>497.71</v>
      </c>
      <c r="E7" s="33">
        <v>47.6</v>
      </c>
      <c r="F7" s="14">
        <f>D7*E7</f>
        <v>23690.995999999999</v>
      </c>
      <c r="G7" s="34">
        <v>2649</v>
      </c>
      <c r="H7" s="14">
        <f>F7+G7</f>
        <v>26339.995999999999</v>
      </c>
      <c r="I7" s="13"/>
      <c r="J7" s="37">
        <v>5670</v>
      </c>
      <c r="K7" s="37">
        <v>1352</v>
      </c>
      <c r="L7" s="37">
        <v>819.2</v>
      </c>
      <c r="M7" s="14"/>
      <c r="N7" s="15">
        <f>H7/J7</f>
        <v>4.6455019400352731</v>
      </c>
      <c r="O7" s="15">
        <f>H7/K7</f>
        <v>19.482245562130178</v>
      </c>
      <c r="P7" s="16">
        <f>F7/L7</f>
        <v>28.919672851562499</v>
      </c>
    </row>
    <row r="8" spans="2:16" ht="16" x14ac:dyDescent="0.2">
      <c r="B8" s="29" t="s">
        <v>20</v>
      </c>
      <c r="C8" s="17" t="s">
        <v>21</v>
      </c>
      <c r="D8" s="35">
        <v>272.99</v>
      </c>
      <c r="E8" s="31">
        <v>277.48500000000001</v>
      </c>
      <c r="F8" s="19">
        <f>D8*E8</f>
        <v>75750.630150000012</v>
      </c>
      <c r="G8" s="36">
        <v>9290</v>
      </c>
      <c r="H8" s="19">
        <f t="shared" ref="H8:H11" si="0">F8+G8</f>
        <v>85040.630150000012</v>
      </c>
      <c r="I8" s="18"/>
      <c r="J8" s="38">
        <v>47716</v>
      </c>
      <c r="K8" s="38">
        <v>5682</v>
      </c>
      <c r="L8" s="38">
        <v>3788</v>
      </c>
      <c r="M8" s="19"/>
      <c r="N8" s="20">
        <f>H8/J8</f>
        <v>1.782224623815911</v>
      </c>
      <c r="O8" s="20">
        <f>H8/K8</f>
        <v>14.966671972896869</v>
      </c>
      <c r="P8" s="20">
        <f>F8/L8</f>
        <v>19.997526438753962</v>
      </c>
    </row>
    <row r="9" spans="2:16" ht="16" x14ac:dyDescent="0.2">
      <c r="B9" s="29" t="s">
        <v>22</v>
      </c>
      <c r="C9" s="17" t="s">
        <v>23</v>
      </c>
      <c r="D9" s="35">
        <v>149.29</v>
      </c>
      <c r="E9" s="31">
        <v>174</v>
      </c>
      <c r="F9" s="19">
        <f t="shared" ref="F9:F11" si="1">D9*E9</f>
        <v>25976.46</v>
      </c>
      <c r="G9" s="36">
        <v>1290</v>
      </c>
      <c r="H9" s="19">
        <f t="shared" si="0"/>
        <v>27266.46</v>
      </c>
      <c r="I9" s="18"/>
      <c r="J9" s="38">
        <v>4980</v>
      </c>
      <c r="K9" s="38">
        <v>1098</v>
      </c>
      <c r="L9" s="38">
        <v>610</v>
      </c>
      <c r="M9" s="19"/>
      <c r="N9" s="20">
        <f t="shared" ref="N9:N12" si="2">H9/J9</f>
        <v>5.4751927710843376</v>
      </c>
      <c r="O9" s="20">
        <f t="shared" ref="O9:O12" si="3">H9/K9</f>
        <v>24.832841530054644</v>
      </c>
      <c r="P9" s="20">
        <f t="shared" ref="P9:P12" si="4">F9/L9</f>
        <v>42.584360655737704</v>
      </c>
    </row>
    <row r="10" spans="2:16" ht="16" x14ac:dyDescent="0.2">
      <c r="B10" s="29" t="s">
        <v>24</v>
      </c>
      <c r="C10" s="17" t="s">
        <v>25</v>
      </c>
      <c r="D10" s="35">
        <v>132.35</v>
      </c>
      <c r="E10" s="31">
        <v>1343.6</v>
      </c>
      <c r="F10" s="19">
        <f t="shared" si="1"/>
        <v>177825.46</v>
      </c>
      <c r="G10" s="36">
        <v>41262</v>
      </c>
      <c r="H10" s="19">
        <f t="shared" si="0"/>
        <v>219087.46</v>
      </c>
      <c r="I10" s="18"/>
      <c r="J10" s="38">
        <v>80700</v>
      </c>
      <c r="K10" s="38">
        <v>10902</v>
      </c>
      <c r="L10" s="38">
        <v>4774</v>
      </c>
      <c r="M10" s="19"/>
      <c r="N10" s="20">
        <f t="shared" si="2"/>
        <v>2.7148384138785624</v>
      </c>
      <c r="O10" s="20">
        <f t="shared" si="3"/>
        <v>20.096079618418639</v>
      </c>
      <c r="P10" s="20">
        <f t="shared" si="4"/>
        <v>37.24873481357352</v>
      </c>
    </row>
    <row r="11" spans="2:16" ht="16" x14ac:dyDescent="0.2">
      <c r="B11" s="30" t="s">
        <v>26</v>
      </c>
      <c r="C11" s="17" t="s">
        <v>27</v>
      </c>
      <c r="D11" s="35">
        <v>447.33</v>
      </c>
      <c r="E11" s="31">
        <v>239.2</v>
      </c>
      <c r="F11" s="19">
        <f t="shared" si="1"/>
        <v>107001.336</v>
      </c>
      <c r="G11" s="36">
        <v>20270</v>
      </c>
      <c r="H11" s="19">
        <f t="shared" si="0"/>
        <v>127271.336</v>
      </c>
      <c r="I11" s="18"/>
      <c r="J11" s="38">
        <v>71000</v>
      </c>
      <c r="K11" s="38">
        <v>8572</v>
      </c>
      <c r="L11" s="38">
        <v>5300</v>
      </c>
      <c r="M11" s="19"/>
      <c r="N11" s="20">
        <f t="shared" si="2"/>
        <v>1.792554028169014</v>
      </c>
      <c r="O11" s="20">
        <f t="shared" si="3"/>
        <v>14.847332711152589</v>
      </c>
      <c r="P11" s="20">
        <f t="shared" si="4"/>
        <v>20.188931320754715</v>
      </c>
    </row>
    <row r="12" spans="2:16" ht="16" x14ac:dyDescent="0.2">
      <c r="B12" s="30" t="s">
        <v>29</v>
      </c>
      <c r="C12" s="17" t="s">
        <v>30</v>
      </c>
      <c r="D12" s="35">
        <v>511.96</v>
      </c>
      <c r="E12" s="31">
        <v>147</v>
      </c>
      <c r="F12" s="19">
        <f>D12*E12</f>
        <v>75258.12</v>
      </c>
      <c r="G12" s="36">
        <v>16274</v>
      </c>
      <c r="H12" s="19">
        <f>F12+G12</f>
        <v>91532.12</v>
      </c>
      <c r="I12" s="18"/>
      <c r="J12" s="38">
        <v>41030</v>
      </c>
      <c r="K12" s="38">
        <v>5740</v>
      </c>
      <c r="L12" s="38">
        <v>1260</v>
      </c>
      <c r="M12" s="19"/>
      <c r="N12" s="20">
        <f t="shared" si="2"/>
        <v>2.2308583962953934</v>
      </c>
      <c r="O12" s="20">
        <f t="shared" si="3"/>
        <v>15.946362369337978</v>
      </c>
      <c r="P12" s="20">
        <f t="shared" si="4"/>
        <v>59.728666666666662</v>
      </c>
    </row>
    <row r="13" spans="2:16" ht="16" x14ac:dyDescent="0.2">
      <c r="E13" s="19"/>
    </row>
    <row r="14" spans="2:16" ht="16" x14ac:dyDescent="0.2">
      <c r="B14" s="1" t="s">
        <v>31</v>
      </c>
      <c r="C14" s="1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21">
        <f>MAX(N8:N12)</f>
        <v>5.4751927710843376</v>
      </c>
      <c r="O14" s="21">
        <f t="shared" ref="O14:P14" si="5">MAX(O8:O12)</f>
        <v>24.832841530054644</v>
      </c>
      <c r="P14" s="21">
        <f t="shared" si="5"/>
        <v>59.728666666666662</v>
      </c>
    </row>
    <row r="15" spans="2:16" ht="16" x14ac:dyDescent="0.2">
      <c r="B15" s="1" t="s">
        <v>32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1">
        <f>QUARTILE(N8:N12,3)</f>
        <v>2.7148384138785624</v>
      </c>
      <c r="O15" s="21">
        <f t="shared" ref="O15:P15" si="6">QUARTILE(O8:O12,3)</f>
        <v>20.096079618418639</v>
      </c>
      <c r="P15" s="21">
        <f t="shared" si="6"/>
        <v>42.584360655737704</v>
      </c>
    </row>
    <row r="16" spans="2:16" ht="16" x14ac:dyDescent="0.2">
      <c r="B16" s="22" t="s">
        <v>33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3">
        <f>AVERAGE(N8:N12)</f>
        <v>2.7991336466486438</v>
      </c>
      <c r="O16" s="23">
        <f t="shared" ref="O16:P16" si="7">AVERAGE(O8:O12)</f>
        <v>18.137857640372143</v>
      </c>
      <c r="P16" s="23">
        <f t="shared" si="7"/>
        <v>35.94964397909731</v>
      </c>
    </row>
    <row r="17" spans="2:22" ht="16" x14ac:dyDescent="0.2">
      <c r="B17" s="22" t="s">
        <v>34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3">
        <f>MEDIAN(N8:N12)</f>
        <v>2.2308583962953934</v>
      </c>
      <c r="O17" s="23">
        <f t="shared" ref="O17:P17" si="8">MEDIAN(O8:O12)</f>
        <v>15.946362369337978</v>
      </c>
      <c r="P17" s="23">
        <f t="shared" si="8"/>
        <v>37.24873481357352</v>
      </c>
    </row>
    <row r="18" spans="2:22" ht="16" x14ac:dyDescent="0.2">
      <c r="B18" s="1" t="s">
        <v>35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1">
        <f>QUARTILE(N8:N12,1)</f>
        <v>1.792554028169014</v>
      </c>
      <c r="O18" s="21">
        <f t="shared" ref="O18:P18" si="9">QUARTILE(O8:O12,1)</f>
        <v>14.966671972896869</v>
      </c>
      <c r="P18" s="21">
        <f t="shared" si="9"/>
        <v>20.188931320754715</v>
      </c>
    </row>
    <row r="19" spans="2:22" ht="16" x14ac:dyDescent="0.2">
      <c r="B19" s="1" t="s">
        <v>36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1">
        <f>MIN(N8:N12)</f>
        <v>1.782224623815911</v>
      </c>
      <c r="O19" s="21">
        <f t="shared" ref="O19:P19" si="10">MIN(O8:O12)</f>
        <v>14.847332711152589</v>
      </c>
      <c r="P19" s="21">
        <f t="shared" si="10"/>
        <v>19.997526438753962</v>
      </c>
    </row>
    <row r="20" spans="2:22" ht="16" x14ac:dyDescent="0.2"/>
    <row r="21" spans="2:22" ht="16" x14ac:dyDescent="0.2">
      <c r="B21" s="4" t="s">
        <v>37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7" t="s">
        <v>38</v>
      </c>
      <c r="O21" s="7" t="s">
        <v>15</v>
      </c>
      <c r="P21" s="7" t="s">
        <v>16</v>
      </c>
    </row>
    <row r="22" spans="2:22" s="29" customFormat="1" ht="16" x14ac:dyDescent="0.2">
      <c r="B22" s="29" t="s">
        <v>39</v>
      </c>
      <c r="N22" s="42">
        <f>L7*N16</f>
        <v>2293.050283334569</v>
      </c>
      <c r="O22" s="42">
        <f>K7*O16</f>
        <v>24522.383529783139</v>
      </c>
      <c r="P22" s="19">
        <f>P16*L7</f>
        <v>29449.948347676516</v>
      </c>
    </row>
    <row r="23" spans="2:22" ht="16" x14ac:dyDescent="0.2">
      <c r="B23" s="29" t="s">
        <v>40</v>
      </c>
      <c r="J23" s="25"/>
      <c r="N23" s="19">
        <f>L7* N17</f>
        <v>1827.5191982451863</v>
      </c>
      <c r="O23" s="19">
        <f>K7* O17</f>
        <v>21559.481923344945</v>
      </c>
      <c r="P23" s="19">
        <f>P17*L7</f>
        <v>30514.16355927943</v>
      </c>
      <c r="R23" s="29" t="s">
        <v>41</v>
      </c>
    </row>
    <row r="24" spans="2:22" ht="16" x14ac:dyDescent="0.2">
      <c r="B24" s="29" t="s">
        <v>9</v>
      </c>
      <c r="G24" s="18"/>
      <c r="J24" s="25"/>
      <c r="N24" s="19">
        <f>$G$7</f>
        <v>2649</v>
      </c>
      <c r="O24" s="19">
        <f t="shared" ref="O24:P24" si="11">$G$7</f>
        <v>2649</v>
      </c>
      <c r="P24" s="19">
        <f t="shared" si="11"/>
        <v>2649</v>
      </c>
      <c r="R24" s="43">
        <f>N22-N24</f>
        <v>-355.94971666543097</v>
      </c>
      <c r="S24" s="43">
        <f>O22-O24</f>
        <v>21873.383529783139</v>
      </c>
      <c r="T24" s="43">
        <f>P22-P24</f>
        <v>26800.948347676516</v>
      </c>
    </row>
    <row r="25" spans="2:22" ht="16" x14ac:dyDescent="0.2">
      <c r="B25" s="29" t="s">
        <v>42</v>
      </c>
      <c r="G25" s="18"/>
      <c r="J25" s="25"/>
      <c r="N25" s="19">
        <f>N23-N24</f>
        <v>-821.48080175481368</v>
      </c>
      <c r="O25" s="19">
        <f>O23-O24</f>
        <v>18910.481923344945</v>
      </c>
      <c r="P25" s="19">
        <f>P23-P24</f>
        <v>27865.16355927943</v>
      </c>
      <c r="R25">
        <v>48</v>
      </c>
      <c r="S25">
        <v>48</v>
      </c>
      <c r="T25">
        <v>48</v>
      </c>
    </row>
    <row r="26" spans="2:22" ht="16" x14ac:dyDescent="0.2">
      <c r="B26" s="29" t="s">
        <v>7</v>
      </c>
      <c r="G26" s="18"/>
      <c r="N26" s="44">
        <f>$E$7</f>
        <v>47.6</v>
      </c>
      <c r="O26" s="19">
        <f t="shared" ref="O26" si="12">$E$7</f>
        <v>47.6</v>
      </c>
      <c r="P26" s="19">
        <f>$E$7</f>
        <v>47.6</v>
      </c>
      <c r="R26" s="43">
        <f>R24/R25</f>
        <v>-7.4156190971964788</v>
      </c>
      <c r="S26" s="43">
        <f t="shared" ref="S26:T26" si="13">S24/S25</f>
        <v>455.69549020381538</v>
      </c>
      <c r="T26" s="43">
        <f t="shared" si="13"/>
        <v>558.35309057659413</v>
      </c>
      <c r="U26" s="43">
        <f>MEDIAN(R26:T26)</f>
        <v>455.69549020381538</v>
      </c>
      <c r="V26" s="29" t="s">
        <v>43</v>
      </c>
    </row>
    <row r="27" spans="2:22" ht="16" x14ac:dyDescent="0.2">
      <c r="B27" s="26" t="s">
        <v>44</v>
      </c>
      <c r="C27" s="26"/>
      <c r="D27" s="27"/>
      <c r="E27" s="27"/>
      <c r="F27" s="26"/>
      <c r="G27" s="28"/>
      <c r="H27" s="26"/>
      <c r="I27" s="26"/>
      <c r="J27" s="26"/>
      <c r="K27" s="26"/>
      <c r="L27" s="26"/>
      <c r="M27" s="26"/>
      <c r="N27" s="40">
        <f>N25/N26</f>
        <v>-17.258000036865834</v>
      </c>
      <c r="O27" s="40">
        <f t="shared" ref="O27" si="14">O25/O26</f>
        <v>397.27903200304507</v>
      </c>
      <c r="P27" s="40">
        <f>P25/P26</f>
        <v>585.40259578318125</v>
      </c>
      <c r="Q27" s="41">
        <f>MEDIAN(N27:P27)</f>
        <v>397.27903200304507</v>
      </c>
      <c r="R27" s="29" t="s">
        <v>45</v>
      </c>
      <c r="U27" s="43">
        <f>AVERAGE(R26:T26)</f>
        <v>335.544320561071</v>
      </c>
      <c r="V27" s="29" t="s">
        <v>46</v>
      </c>
    </row>
    <row r="28" spans="2:22" ht="16" x14ac:dyDescent="0.2">
      <c r="D28" s="25"/>
      <c r="E28" s="25"/>
      <c r="G28" s="18"/>
      <c r="Q28" s="41">
        <f>AVERAGE(N27:P27)</f>
        <v>321.8078759164535</v>
      </c>
      <c r="R28" s="29" t="s">
        <v>47</v>
      </c>
    </row>
    <row r="29" spans="2:22" ht="16" x14ac:dyDescent="0.2">
      <c r="D29" s="25"/>
      <c r="E29" s="25"/>
      <c r="G29" s="18"/>
    </row>
    <row r="30" spans="2:22" ht="16" x14ac:dyDescent="0.2">
      <c r="D30" s="25"/>
      <c r="E30" s="25"/>
    </row>
    <row r="31" spans="2:22" ht="16" x14ac:dyDescent="0.2">
      <c r="D31" s="25"/>
      <c r="E31" s="25"/>
      <c r="P31" s="29" t="s">
        <v>49</v>
      </c>
      <c r="Q31" s="41">
        <f>AVERAGE(Q27:Q28,U26:U27)</f>
        <v>377.58167967109625</v>
      </c>
    </row>
  </sheetData>
  <mergeCells count="3">
    <mergeCell ref="D4:H4"/>
    <mergeCell ref="J4:L4"/>
    <mergeCell ref="N4:P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8E1C1-69F9-4FB8-9A8C-8F67ED4F8D13}">
  <dimension ref="B1:V31"/>
  <sheetViews>
    <sheetView showGridLines="0" zoomScale="80" zoomScaleNormal="80" workbookViewId="0">
      <selection activeCell="P22" sqref="P22"/>
    </sheetView>
  </sheetViews>
  <sheetFormatPr baseColWidth="10" defaultColWidth="11" defaultRowHeight="15" customHeight="1" x14ac:dyDescent="0.2"/>
  <cols>
    <col min="1" max="1" width="10.5" customWidth="1"/>
    <col min="2" max="2" width="43.33203125" bestFit="1" customWidth="1"/>
    <col min="3" max="3" width="14" customWidth="1"/>
    <col min="4" max="4" width="10.33203125" customWidth="1"/>
    <col min="5" max="5" width="11.5" customWidth="1"/>
    <col min="6" max="7" width="11.33203125" customWidth="1"/>
    <col min="8" max="8" width="10.5" customWidth="1"/>
    <col min="9" max="9" width="3.5" customWidth="1"/>
    <col min="10" max="10" width="11.5" customWidth="1"/>
    <col min="11" max="12" width="10.5" customWidth="1"/>
    <col min="13" max="13" width="3.5" customWidth="1"/>
    <col min="14" max="14" width="11.5" customWidth="1"/>
    <col min="15" max="26" width="10.5" customWidth="1"/>
  </cols>
  <sheetData>
    <row r="1" spans="2:16" ht="16" x14ac:dyDescent="0.2"/>
    <row r="2" spans="2:16" ht="24" x14ac:dyDescent="0.3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16" x14ac:dyDescent="0.2"/>
    <row r="4" spans="2:16" ht="16" x14ac:dyDescent="0.2">
      <c r="B4" s="4"/>
      <c r="C4" s="4"/>
      <c r="D4" s="99" t="s">
        <v>1</v>
      </c>
      <c r="E4" s="100"/>
      <c r="F4" s="100"/>
      <c r="G4" s="100"/>
      <c r="H4" s="100"/>
      <c r="I4" s="4"/>
      <c r="J4" s="99" t="s">
        <v>2</v>
      </c>
      <c r="K4" s="100"/>
      <c r="L4" s="100"/>
      <c r="M4" s="4"/>
      <c r="N4" s="99" t="s">
        <v>3</v>
      </c>
      <c r="O4" s="100"/>
      <c r="P4" s="100"/>
    </row>
    <row r="5" spans="2:16" ht="34" x14ac:dyDescent="0.2">
      <c r="B5" s="5" t="s">
        <v>4</v>
      </c>
      <c r="C5" s="5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7"/>
      <c r="J5" s="7" t="s">
        <v>11</v>
      </c>
      <c r="K5" s="7" t="s">
        <v>12</v>
      </c>
      <c r="L5" s="7" t="s">
        <v>13</v>
      </c>
      <c r="M5" s="7"/>
      <c r="N5" s="7" t="s">
        <v>53</v>
      </c>
      <c r="O5" s="7" t="s">
        <v>15</v>
      </c>
      <c r="P5" s="7" t="s">
        <v>16</v>
      </c>
    </row>
    <row r="6" spans="2:16" ht="9" customHeight="1" x14ac:dyDescent="0.2">
      <c r="B6" s="8"/>
      <c r="C6" s="8"/>
      <c r="D6" s="9"/>
      <c r="E6" s="9"/>
      <c r="F6" s="9"/>
      <c r="G6" s="9"/>
      <c r="H6" s="9"/>
      <c r="I6" s="10"/>
      <c r="J6" s="10"/>
      <c r="K6" s="10"/>
      <c r="L6" s="10"/>
      <c r="M6" s="10"/>
      <c r="N6" s="10"/>
      <c r="O6" s="10"/>
      <c r="P6" s="10"/>
    </row>
    <row r="7" spans="2:16" ht="16" x14ac:dyDescent="0.2">
      <c r="B7" s="11" t="s">
        <v>18</v>
      </c>
      <c r="C7" s="12" t="s">
        <v>19</v>
      </c>
      <c r="D7" s="32">
        <v>497.71</v>
      </c>
      <c r="E7" s="33">
        <v>47.6</v>
      </c>
      <c r="F7" s="14">
        <f>D7*E7</f>
        <v>23690.995999999999</v>
      </c>
      <c r="G7" s="34">
        <v>2649</v>
      </c>
      <c r="H7" s="14">
        <f>F7+G7</f>
        <v>26339.995999999999</v>
      </c>
      <c r="I7" s="13"/>
      <c r="J7" s="37">
        <v>5670</v>
      </c>
      <c r="K7" s="37">
        <v>1352</v>
      </c>
      <c r="L7" s="37">
        <v>819.2</v>
      </c>
      <c r="M7" s="14"/>
      <c r="N7" s="15">
        <f>H7/J7</f>
        <v>4.6455019400352731</v>
      </c>
      <c r="O7" s="15">
        <f>H7/K7</f>
        <v>19.482245562130178</v>
      </c>
      <c r="P7" s="16">
        <f>F7/L7</f>
        <v>28.919672851562499</v>
      </c>
    </row>
    <row r="8" spans="2:16" ht="16" x14ac:dyDescent="0.2">
      <c r="B8" s="29" t="s">
        <v>20</v>
      </c>
      <c r="C8" s="17" t="s">
        <v>21</v>
      </c>
      <c r="D8" s="35">
        <v>272.99</v>
      </c>
      <c r="E8" s="31">
        <v>277.48500000000001</v>
      </c>
      <c r="F8" s="19">
        <f>D8*E8</f>
        <v>75750.630150000012</v>
      </c>
      <c r="G8" s="36">
        <v>9290</v>
      </c>
      <c r="H8" s="19">
        <f t="shared" ref="H8:H11" si="0">F8+G8</f>
        <v>85040.630150000012</v>
      </c>
      <c r="I8" s="18"/>
      <c r="J8" s="38">
        <v>47716</v>
      </c>
      <c r="K8" s="38">
        <v>5682</v>
      </c>
      <c r="L8" s="38">
        <v>3788</v>
      </c>
      <c r="M8" s="19"/>
      <c r="N8" s="20">
        <f>H8/J8</f>
        <v>1.782224623815911</v>
      </c>
      <c r="O8" s="20">
        <f>H8/K8</f>
        <v>14.966671972896869</v>
      </c>
      <c r="P8" s="20">
        <f>F8/L8</f>
        <v>19.997526438753962</v>
      </c>
    </row>
    <row r="9" spans="2:16" ht="16" x14ac:dyDescent="0.2">
      <c r="B9" s="29" t="s">
        <v>22</v>
      </c>
      <c r="C9" s="17" t="s">
        <v>23</v>
      </c>
      <c r="D9" s="35">
        <v>149.29</v>
      </c>
      <c r="E9" s="31">
        <v>174</v>
      </c>
      <c r="F9" s="19">
        <f t="shared" ref="F9:F11" si="1">D9*E9</f>
        <v>25976.46</v>
      </c>
      <c r="G9" s="36">
        <v>1290</v>
      </c>
      <c r="H9" s="19">
        <f t="shared" si="0"/>
        <v>27266.46</v>
      </c>
      <c r="I9" s="18"/>
      <c r="J9" s="38">
        <v>4980</v>
      </c>
      <c r="K9" s="38">
        <v>1098</v>
      </c>
      <c r="L9" s="38">
        <v>610</v>
      </c>
      <c r="M9" s="19"/>
      <c r="N9" s="20">
        <f t="shared" ref="N9:N12" si="2">H9/J9</f>
        <v>5.4751927710843376</v>
      </c>
      <c r="O9" s="20">
        <f t="shared" ref="O9:O12" si="3">H9/K9</f>
        <v>24.832841530054644</v>
      </c>
      <c r="P9" s="20">
        <f t="shared" ref="P9:P12" si="4">F9/L9</f>
        <v>42.584360655737704</v>
      </c>
    </row>
    <row r="10" spans="2:16" ht="16" x14ac:dyDescent="0.2">
      <c r="B10" s="29" t="s">
        <v>24</v>
      </c>
      <c r="C10" s="17" t="s">
        <v>25</v>
      </c>
      <c r="D10" s="35">
        <v>132.35</v>
      </c>
      <c r="E10" s="31">
        <v>1343.6</v>
      </c>
      <c r="F10" s="19">
        <f t="shared" si="1"/>
        <v>177825.46</v>
      </c>
      <c r="G10" s="36">
        <v>41262</v>
      </c>
      <c r="H10" s="19">
        <f t="shared" si="0"/>
        <v>219087.46</v>
      </c>
      <c r="I10" s="18"/>
      <c r="J10" s="38">
        <v>80700</v>
      </c>
      <c r="K10" s="38">
        <v>10902</v>
      </c>
      <c r="L10" s="38">
        <v>4774</v>
      </c>
      <c r="M10" s="19"/>
      <c r="N10" s="20">
        <f t="shared" si="2"/>
        <v>2.7148384138785624</v>
      </c>
      <c r="O10" s="20">
        <f t="shared" si="3"/>
        <v>20.096079618418639</v>
      </c>
      <c r="P10" s="20">
        <f t="shared" si="4"/>
        <v>37.24873481357352</v>
      </c>
    </row>
    <row r="11" spans="2:16" ht="16" x14ac:dyDescent="0.2">
      <c r="B11" s="30" t="s">
        <v>26</v>
      </c>
      <c r="C11" s="17" t="s">
        <v>27</v>
      </c>
      <c r="D11" s="35">
        <v>447.33</v>
      </c>
      <c r="E11" s="31">
        <v>239.2</v>
      </c>
      <c r="F11" s="19">
        <f t="shared" si="1"/>
        <v>107001.336</v>
      </c>
      <c r="G11" s="36">
        <v>20270</v>
      </c>
      <c r="H11" s="19">
        <f t="shared" si="0"/>
        <v>127271.336</v>
      </c>
      <c r="I11" s="18"/>
      <c r="J11" s="38">
        <v>71000</v>
      </c>
      <c r="K11" s="38">
        <v>8572</v>
      </c>
      <c r="L11" s="38">
        <v>5300</v>
      </c>
      <c r="M11" s="19"/>
      <c r="N11" s="20">
        <f t="shared" si="2"/>
        <v>1.792554028169014</v>
      </c>
      <c r="O11" s="20">
        <f t="shared" si="3"/>
        <v>14.847332711152589</v>
      </c>
      <c r="P11" s="20">
        <f t="shared" si="4"/>
        <v>20.188931320754715</v>
      </c>
    </row>
    <row r="12" spans="2:16" ht="16" x14ac:dyDescent="0.2">
      <c r="B12" s="30" t="s">
        <v>29</v>
      </c>
      <c r="C12" s="17" t="s">
        <v>30</v>
      </c>
      <c r="D12" s="35">
        <v>511.96</v>
      </c>
      <c r="E12" s="31">
        <v>147</v>
      </c>
      <c r="F12" s="19">
        <f>D12*E12</f>
        <v>75258.12</v>
      </c>
      <c r="G12" s="36">
        <v>16274</v>
      </c>
      <c r="H12" s="19">
        <f>F12+G12</f>
        <v>91532.12</v>
      </c>
      <c r="I12" s="18"/>
      <c r="J12" s="38">
        <v>41030</v>
      </c>
      <c r="K12" s="38">
        <v>5740</v>
      </c>
      <c r="L12" s="38">
        <v>1260</v>
      </c>
      <c r="M12" s="19"/>
      <c r="N12" s="20">
        <f t="shared" si="2"/>
        <v>2.2308583962953934</v>
      </c>
      <c r="O12" s="20">
        <f t="shared" si="3"/>
        <v>15.946362369337978</v>
      </c>
      <c r="P12" s="20">
        <f t="shared" si="4"/>
        <v>59.728666666666662</v>
      </c>
    </row>
    <row r="13" spans="2:16" ht="16" x14ac:dyDescent="0.2">
      <c r="E13" s="19"/>
    </row>
    <row r="14" spans="2:16" ht="16" x14ac:dyDescent="0.2">
      <c r="B14" s="1" t="s">
        <v>31</v>
      </c>
      <c r="C14" s="1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21">
        <f>MAX(N8:N12)</f>
        <v>5.4751927710843376</v>
      </c>
      <c r="O14" s="21">
        <f t="shared" ref="O14:P14" si="5">MAX(O8:O12)</f>
        <v>24.832841530054644</v>
      </c>
      <c r="P14" s="21">
        <f t="shared" si="5"/>
        <v>59.728666666666662</v>
      </c>
    </row>
    <row r="15" spans="2:16" ht="16" x14ac:dyDescent="0.2">
      <c r="B15" s="1" t="s">
        <v>32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1">
        <f>QUARTILE(N8:N12,3)</f>
        <v>2.7148384138785624</v>
      </c>
      <c r="O15" s="21">
        <f t="shared" ref="O15:P15" si="6">QUARTILE(O8:O12,3)</f>
        <v>20.096079618418639</v>
      </c>
      <c r="P15" s="21">
        <f t="shared" si="6"/>
        <v>42.584360655737704</v>
      </c>
    </row>
    <row r="16" spans="2:16" ht="16" x14ac:dyDescent="0.2">
      <c r="B16" s="22" t="s">
        <v>33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3">
        <f>AVERAGE(N8:N12)</f>
        <v>2.7991336466486438</v>
      </c>
      <c r="O16" s="23">
        <f t="shared" ref="O16:P16" si="7">AVERAGE(O8:O12)</f>
        <v>18.137857640372143</v>
      </c>
      <c r="P16" s="23">
        <f t="shared" si="7"/>
        <v>35.94964397909731</v>
      </c>
    </row>
    <row r="17" spans="2:22" ht="16" x14ac:dyDescent="0.2">
      <c r="B17" s="22" t="s">
        <v>34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3">
        <f>MEDIAN(N8:N12)</f>
        <v>2.2308583962953934</v>
      </c>
      <c r="O17" s="23">
        <f t="shared" ref="O17:P17" si="8">MEDIAN(O8:O12)</f>
        <v>15.946362369337978</v>
      </c>
      <c r="P17" s="23">
        <f t="shared" si="8"/>
        <v>37.24873481357352</v>
      </c>
    </row>
    <row r="18" spans="2:22" ht="16" x14ac:dyDescent="0.2">
      <c r="B18" s="1" t="s">
        <v>35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1">
        <f>QUARTILE(N8:N12,1)</f>
        <v>1.792554028169014</v>
      </c>
      <c r="O18" s="21">
        <f t="shared" ref="O18:P18" si="9">QUARTILE(O8:O12,1)</f>
        <v>14.966671972896869</v>
      </c>
      <c r="P18" s="21">
        <f t="shared" si="9"/>
        <v>20.188931320754715</v>
      </c>
    </row>
    <row r="19" spans="2:22" ht="16" x14ac:dyDescent="0.2">
      <c r="B19" s="1" t="s">
        <v>36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1">
        <f>MIN(N8:N12)</f>
        <v>1.782224623815911</v>
      </c>
      <c r="O19" s="21">
        <f t="shared" ref="O19:P19" si="10">MIN(O8:O12)</f>
        <v>14.847332711152589</v>
      </c>
      <c r="P19" s="21">
        <f t="shared" si="10"/>
        <v>19.997526438753962</v>
      </c>
    </row>
    <row r="20" spans="2:22" ht="16" x14ac:dyDescent="0.2"/>
    <row r="21" spans="2:22" ht="16" x14ac:dyDescent="0.2">
      <c r="B21" s="4" t="s">
        <v>37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7" t="s">
        <v>53</v>
      </c>
      <c r="O21" s="7" t="s">
        <v>15</v>
      </c>
      <c r="P21" s="7" t="s">
        <v>16</v>
      </c>
    </row>
    <row r="22" spans="2:22" s="29" customFormat="1" ht="16" x14ac:dyDescent="0.2">
      <c r="B22" s="29" t="s">
        <v>39</v>
      </c>
      <c r="N22" s="42">
        <f>J7*N16</f>
        <v>15871.08777649781</v>
      </c>
      <c r="O22" s="42">
        <f>K7*O16</f>
        <v>24522.383529783139</v>
      </c>
      <c r="P22" s="19">
        <f>P16*L7</f>
        <v>29449.948347676516</v>
      </c>
    </row>
    <row r="23" spans="2:22" ht="16" x14ac:dyDescent="0.2">
      <c r="B23" s="29" t="s">
        <v>40</v>
      </c>
      <c r="J23" s="25"/>
      <c r="N23" s="19">
        <f>J7* N17</f>
        <v>12648.96710699488</v>
      </c>
      <c r="O23" s="19">
        <f>K7* O17</f>
        <v>21559.481923344945</v>
      </c>
      <c r="P23" s="19">
        <f>P17*L7</f>
        <v>30514.16355927943</v>
      </c>
      <c r="R23" s="29" t="s">
        <v>41</v>
      </c>
    </row>
    <row r="24" spans="2:22" ht="16" x14ac:dyDescent="0.2">
      <c r="B24" s="29" t="s">
        <v>9</v>
      </c>
      <c r="G24" s="18"/>
      <c r="J24" s="25"/>
      <c r="N24" s="19">
        <f>$G$7</f>
        <v>2649</v>
      </c>
      <c r="O24" s="19">
        <f t="shared" ref="O24:P24" si="11">$G$7</f>
        <v>2649</v>
      </c>
      <c r="P24" s="19">
        <f t="shared" si="11"/>
        <v>2649</v>
      </c>
      <c r="R24" s="43">
        <f>N22-N24</f>
        <v>13222.08777649781</v>
      </c>
      <c r="S24" s="43">
        <f>O22-O24</f>
        <v>21873.383529783139</v>
      </c>
      <c r="T24" s="43">
        <f>P22-P24</f>
        <v>26800.948347676516</v>
      </c>
    </row>
    <row r="25" spans="2:22" ht="16" x14ac:dyDescent="0.2">
      <c r="B25" s="29" t="s">
        <v>42</v>
      </c>
      <c r="G25" s="18"/>
      <c r="J25" s="25"/>
      <c r="N25" s="19">
        <f>N23-N24</f>
        <v>9999.9671069948799</v>
      </c>
      <c r="O25" s="19">
        <f>O23-O24</f>
        <v>18910.481923344945</v>
      </c>
      <c r="P25" s="19">
        <f>P23-P24</f>
        <v>27865.16355927943</v>
      </c>
      <c r="R25">
        <v>48</v>
      </c>
      <c r="S25">
        <v>48</v>
      </c>
      <c r="T25">
        <v>48</v>
      </c>
    </row>
    <row r="26" spans="2:22" ht="16" x14ac:dyDescent="0.2">
      <c r="B26" s="29" t="s">
        <v>7</v>
      </c>
      <c r="G26" s="18"/>
      <c r="N26" s="19">
        <f>$E$7</f>
        <v>47.6</v>
      </c>
      <c r="O26" s="19">
        <f t="shared" ref="O26" si="12">$E$7</f>
        <v>47.6</v>
      </c>
      <c r="P26" s="19">
        <f>$E$7</f>
        <v>47.6</v>
      </c>
      <c r="R26" s="43">
        <f>R24/R25</f>
        <v>275.46016201037105</v>
      </c>
      <c r="S26" s="43">
        <f t="shared" ref="S26:T26" si="13">S24/S25</f>
        <v>455.69549020381538</v>
      </c>
      <c r="T26" s="43">
        <f t="shared" si="13"/>
        <v>558.35309057659413</v>
      </c>
      <c r="U26" s="43">
        <f>MEDIAN(R26:T26)</f>
        <v>455.69549020381538</v>
      </c>
      <c r="V26" s="29" t="s">
        <v>43</v>
      </c>
    </row>
    <row r="27" spans="2:22" ht="16" x14ac:dyDescent="0.2">
      <c r="B27" s="26" t="s">
        <v>44</v>
      </c>
      <c r="C27" s="26"/>
      <c r="D27" s="27"/>
      <c r="E27" s="27"/>
      <c r="F27" s="26"/>
      <c r="G27" s="28"/>
      <c r="H27" s="26"/>
      <c r="I27" s="26"/>
      <c r="J27" s="26"/>
      <c r="K27" s="26"/>
      <c r="L27" s="26"/>
      <c r="M27" s="26"/>
      <c r="N27" s="40">
        <f>N25/N26</f>
        <v>210.08334258392605</v>
      </c>
      <c r="O27" s="40">
        <f t="shared" ref="O27" si="14">O25/O26</f>
        <v>397.27903200304507</v>
      </c>
      <c r="P27" s="40">
        <f>P25/P26</f>
        <v>585.40259578318125</v>
      </c>
      <c r="Q27" s="41">
        <f>MEDIAN(N27:P27)</f>
        <v>397.27903200304507</v>
      </c>
      <c r="R27" s="29" t="s">
        <v>45</v>
      </c>
      <c r="U27" s="43">
        <f>AVERAGE(R26:T26)</f>
        <v>429.83624759692685</v>
      </c>
      <c r="V27" s="29" t="s">
        <v>46</v>
      </c>
    </row>
    <row r="28" spans="2:22" ht="16" x14ac:dyDescent="0.2">
      <c r="D28" s="25"/>
      <c r="E28" s="25"/>
      <c r="G28" s="18"/>
      <c r="Q28" s="41">
        <f>AVERAGE(N27:P27)</f>
        <v>397.58832345671743</v>
      </c>
      <c r="R28" s="29" t="s">
        <v>47</v>
      </c>
    </row>
    <row r="29" spans="2:22" ht="16" x14ac:dyDescent="0.2">
      <c r="D29" s="25"/>
      <c r="E29" s="25"/>
      <c r="G29" s="18"/>
    </row>
    <row r="30" spans="2:22" ht="16" x14ac:dyDescent="0.2">
      <c r="D30" s="25"/>
      <c r="E30" s="25"/>
    </row>
    <row r="31" spans="2:22" ht="16" x14ac:dyDescent="0.2">
      <c r="D31" s="25"/>
      <c r="E31" s="25"/>
      <c r="P31" s="29" t="s">
        <v>49</v>
      </c>
      <c r="Q31" s="41">
        <f>AVERAGE(Q27:Q28,U26:U27)</f>
        <v>420.09977331512619</v>
      </c>
    </row>
  </sheetData>
  <mergeCells count="3">
    <mergeCell ref="D4:H4"/>
    <mergeCell ref="J4:L4"/>
    <mergeCell ref="N4:P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30"/>
  <sheetViews>
    <sheetView showGridLines="0" zoomScale="80" zoomScaleNormal="80" workbookViewId="0">
      <selection activeCell="N22" sqref="N22"/>
    </sheetView>
  </sheetViews>
  <sheetFormatPr baseColWidth="10" defaultColWidth="11" defaultRowHeight="15" customHeight="1" x14ac:dyDescent="0.2"/>
  <cols>
    <col min="1" max="1" width="10.5" customWidth="1"/>
    <col min="2" max="2" width="43.33203125" bestFit="1" customWidth="1"/>
    <col min="3" max="3" width="14" customWidth="1"/>
    <col min="4" max="4" width="10.33203125" customWidth="1"/>
    <col min="5" max="5" width="11.5" customWidth="1"/>
    <col min="6" max="7" width="11.33203125" customWidth="1"/>
    <col min="8" max="8" width="10.5" customWidth="1"/>
    <col min="9" max="9" width="3.5" customWidth="1"/>
    <col min="10" max="10" width="11.5" customWidth="1"/>
    <col min="11" max="12" width="10.5" customWidth="1"/>
    <col min="13" max="13" width="3.5" customWidth="1"/>
    <col min="14" max="14" width="11.5" customWidth="1"/>
    <col min="15" max="26" width="10.5" customWidth="1"/>
  </cols>
  <sheetData>
    <row r="1" spans="2:16" ht="16" x14ac:dyDescent="0.2"/>
    <row r="2" spans="2:16" ht="24" x14ac:dyDescent="0.3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16" x14ac:dyDescent="0.2"/>
    <row r="4" spans="2:16" ht="16" x14ac:dyDescent="0.2">
      <c r="B4" s="4"/>
      <c r="C4" s="4"/>
      <c r="D4" s="99" t="s">
        <v>1</v>
      </c>
      <c r="E4" s="100"/>
      <c r="F4" s="100"/>
      <c r="G4" s="100"/>
      <c r="H4" s="100"/>
      <c r="I4" s="4"/>
      <c r="J4" s="99" t="s">
        <v>2</v>
      </c>
      <c r="K4" s="100"/>
      <c r="L4" s="100"/>
      <c r="M4" s="4"/>
      <c r="N4" s="99" t="s">
        <v>3</v>
      </c>
      <c r="O4" s="100"/>
      <c r="P4" s="100"/>
    </row>
    <row r="5" spans="2:16" ht="34" x14ac:dyDescent="0.2">
      <c r="B5" s="5" t="s">
        <v>4</v>
      </c>
      <c r="C5" s="5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7"/>
      <c r="J5" s="7" t="s">
        <v>11</v>
      </c>
      <c r="K5" s="7" t="s">
        <v>12</v>
      </c>
      <c r="L5" s="7" t="s">
        <v>13</v>
      </c>
      <c r="M5" s="7"/>
      <c r="N5" s="7" t="s">
        <v>53</v>
      </c>
      <c r="O5" s="7" t="s">
        <v>15</v>
      </c>
      <c r="P5" s="7" t="s">
        <v>16</v>
      </c>
    </row>
    <row r="6" spans="2:16" ht="9" customHeight="1" x14ac:dyDescent="0.2">
      <c r="B6" s="8"/>
      <c r="C6" s="8"/>
      <c r="D6" s="9"/>
      <c r="E6" s="9"/>
      <c r="F6" s="9"/>
      <c r="G6" s="9"/>
      <c r="H6" s="9"/>
      <c r="I6" s="10"/>
      <c r="J6" s="10"/>
      <c r="K6" s="10"/>
      <c r="L6" s="10"/>
      <c r="M6" s="10"/>
      <c r="N6" s="10"/>
      <c r="O6" s="10"/>
      <c r="P6" s="10"/>
    </row>
    <row r="7" spans="2:16" ht="16" x14ac:dyDescent="0.2">
      <c r="B7" s="11" t="s">
        <v>18</v>
      </c>
      <c r="C7" s="12" t="s">
        <v>19</v>
      </c>
      <c r="D7" s="32">
        <v>497.71</v>
      </c>
      <c r="E7" s="33">
        <v>47.6</v>
      </c>
      <c r="F7" s="14">
        <f>D7*E7</f>
        <v>23690.995999999999</v>
      </c>
      <c r="G7" s="34">
        <v>2649</v>
      </c>
      <c r="H7" s="14">
        <f>F7+G7</f>
        <v>26339.995999999999</v>
      </c>
      <c r="I7" s="13"/>
      <c r="J7" s="37">
        <v>5670</v>
      </c>
      <c r="K7" s="37">
        <v>1352</v>
      </c>
      <c r="L7" s="37">
        <v>819.2</v>
      </c>
      <c r="M7" s="14"/>
      <c r="N7" s="15">
        <f>H7/J7</f>
        <v>4.6455019400352731</v>
      </c>
      <c r="O7" s="15">
        <f>H7/K7</f>
        <v>19.482245562130178</v>
      </c>
      <c r="P7" s="16">
        <f>F7/L7</f>
        <v>28.919672851562499</v>
      </c>
    </row>
    <row r="8" spans="2:16" ht="16" x14ac:dyDescent="0.2">
      <c r="B8" s="29" t="s">
        <v>20</v>
      </c>
      <c r="C8" s="17" t="s">
        <v>21</v>
      </c>
      <c r="D8" s="35">
        <v>272.99</v>
      </c>
      <c r="E8" s="31">
        <v>277.48500000000001</v>
      </c>
      <c r="F8" s="19">
        <f>D8*E8</f>
        <v>75750.630150000012</v>
      </c>
      <c r="G8" s="36">
        <v>9290</v>
      </c>
      <c r="H8" s="19">
        <f t="shared" ref="H8:H11" si="0">F8+G8</f>
        <v>85040.630150000012</v>
      </c>
      <c r="I8" s="18"/>
      <c r="J8" s="38">
        <v>47716</v>
      </c>
      <c r="K8" s="38">
        <v>5682</v>
      </c>
      <c r="L8" s="38">
        <v>3788</v>
      </c>
      <c r="M8" s="19"/>
      <c r="N8" s="20">
        <f>H8/J8</f>
        <v>1.782224623815911</v>
      </c>
      <c r="O8" s="20">
        <f>H8/K8</f>
        <v>14.966671972896869</v>
      </c>
      <c r="P8" s="20">
        <f>F8/L8</f>
        <v>19.997526438753962</v>
      </c>
    </row>
    <row r="9" spans="2:16" ht="16" x14ac:dyDescent="0.2">
      <c r="B9" s="29" t="s">
        <v>22</v>
      </c>
      <c r="C9" s="17" t="s">
        <v>23</v>
      </c>
      <c r="D9" s="35">
        <v>149.29</v>
      </c>
      <c r="E9" s="31">
        <v>174</v>
      </c>
      <c r="F9" s="19">
        <f t="shared" ref="F9:F11" si="1">D9*E9</f>
        <v>25976.46</v>
      </c>
      <c r="G9" s="36">
        <v>1290</v>
      </c>
      <c r="H9" s="19">
        <f t="shared" si="0"/>
        <v>27266.46</v>
      </c>
      <c r="I9" s="18"/>
      <c r="J9" s="38">
        <v>4980</v>
      </c>
      <c r="K9" s="38">
        <v>1098</v>
      </c>
      <c r="L9" s="38">
        <v>610</v>
      </c>
      <c r="M9" s="19"/>
      <c r="N9" s="20">
        <f t="shared" ref="N9:N12" si="2">H9/J9</f>
        <v>5.4751927710843376</v>
      </c>
      <c r="O9" s="20">
        <f t="shared" ref="O9:O12" si="3">H9/K9</f>
        <v>24.832841530054644</v>
      </c>
      <c r="P9" s="20">
        <f t="shared" ref="P9:P12" si="4">F9/L9</f>
        <v>42.584360655737704</v>
      </c>
    </row>
    <row r="10" spans="2:16" ht="16" x14ac:dyDescent="0.2">
      <c r="B10" s="29" t="s">
        <v>24</v>
      </c>
      <c r="C10" s="17" t="s">
        <v>25</v>
      </c>
      <c r="D10" s="35">
        <v>132.35</v>
      </c>
      <c r="E10" s="31">
        <v>1343.6</v>
      </c>
      <c r="F10" s="19">
        <f t="shared" si="1"/>
        <v>177825.46</v>
      </c>
      <c r="G10" s="36">
        <v>41262</v>
      </c>
      <c r="H10" s="19">
        <f t="shared" si="0"/>
        <v>219087.46</v>
      </c>
      <c r="I10" s="18"/>
      <c r="J10" s="38">
        <v>80700</v>
      </c>
      <c r="K10" s="38">
        <v>10902</v>
      </c>
      <c r="L10" s="38">
        <v>4774</v>
      </c>
      <c r="M10" s="19"/>
      <c r="N10" s="20">
        <f t="shared" si="2"/>
        <v>2.7148384138785624</v>
      </c>
      <c r="O10" s="20">
        <f t="shared" si="3"/>
        <v>20.096079618418639</v>
      </c>
      <c r="P10" s="20">
        <f t="shared" si="4"/>
        <v>37.24873481357352</v>
      </c>
    </row>
    <row r="11" spans="2:16" ht="16" x14ac:dyDescent="0.2">
      <c r="B11" s="30" t="s">
        <v>26</v>
      </c>
      <c r="C11" s="17" t="s">
        <v>27</v>
      </c>
      <c r="D11" s="35">
        <v>447.33</v>
      </c>
      <c r="E11" s="31">
        <v>239.2</v>
      </c>
      <c r="F11" s="19">
        <f t="shared" si="1"/>
        <v>107001.336</v>
      </c>
      <c r="G11" s="36">
        <v>20270</v>
      </c>
      <c r="H11" s="19">
        <f t="shared" si="0"/>
        <v>127271.336</v>
      </c>
      <c r="I11" s="18"/>
      <c r="J11" s="38">
        <v>71000</v>
      </c>
      <c r="K11" s="38">
        <v>8572</v>
      </c>
      <c r="L11" s="38">
        <v>5300</v>
      </c>
      <c r="M11" s="19"/>
      <c r="N11" s="20">
        <f t="shared" si="2"/>
        <v>1.792554028169014</v>
      </c>
      <c r="O11" s="20">
        <f t="shared" si="3"/>
        <v>14.847332711152589</v>
      </c>
      <c r="P11" s="20">
        <f t="shared" si="4"/>
        <v>20.188931320754715</v>
      </c>
    </row>
    <row r="12" spans="2:16" ht="16" x14ac:dyDescent="0.2">
      <c r="B12" s="30" t="s">
        <v>29</v>
      </c>
      <c r="C12" s="17" t="s">
        <v>30</v>
      </c>
      <c r="D12" s="35">
        <v>511.96</v>
      </c>
      <c r="E12" s="31">
        <v>147</v>
      </c>
      <c r="F12" s="19">
        <f>D12*E12</f>
        <v>75258.12</v>
      </c>
      <c r="G12" s="36">
        <v>16274</v>
      </c>
      <c r="H12" s="19">
        <f>F12+G12</f>
        <v>91532.12</v>
      </c>
      <c r="I12" s="18"/>
      <c r="J12" s="38">
        <v>41030</v>
      </c>
      <c r="K12" s="38">
        <v>5740</v>
      </c>
      <c r="L12" s="38">
        <v>4170</v>
      </c>
      <c r="M12" s="19"/>
      <c r="N12" s="20">
        <f t="shared" si="2"/>
        <v>2.2308583962953934</v>
      </c>
      <c r="O12" s="20">
        <f t="shared" si="3"/>
        <v>15.946362369337978</v>
      </c>
      <c r="P12" s="20">
        <f t="shared" si="4"/>
        <v>18.047510791366907</v>
      </c>
    </row>
    <row r="13" spans="2:16" ht="16" x14ac:dyDescent="0.2">
      <c r="E13" s="19"/>
    </row>
    <row r="14" spans="2:16" ht="16" x14ac:dyDescent="0.2">
      <c r="B14" s="1" t="s">
        <v>31</v>
      </c>
      <c r="C14" s="1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21">
        <f>MAX(N8:N12)</f>
        <v>5.4751927710843376</v>
      </c>
      <c r="O14" s="21">
        <f t="shared" ref="O14:P14" si="5">MAX(O8:O12)</f>
        <v>24.832841530054644</v>
      </c>
      <c r="P14" s="21">
        <f t="shared" si="5"/>
        <v>42.584360655737704</v>
      </c>
    </row>
    <row r="15" spans="2:16" ht="16" x14ac:dyDescent="0.2">
      <c r="B15" s="1" t="s">
        <v>32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1">
        <f>QUARTILE(N8:N12,3)</f>
        <v>2.7148384138785624</v>
      </c>
      <c r="O15" s="21">
        <f t="shared" ref="O15:P15" si="6">QUARTILE(O8:O12,3)</f>
        <v>20.096079618418639</v>
      </c>
      <c r="P15" s="21">
        <f t="shared" si="6"/>
        <v>37.24873481357352</v>
      </c>
    </row>
    <row r="16" spans="2:16" ht="16" x14ac:dyDescent="0.2">
      <c r="B16" s="22" t="s">
        <v>33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3">
        <f>AVERAGE(N8:N12)</f>
        <v>2.7991336466486438</v>
      </c>
      <c r="O16" s="23">
        <f t="shared" ref="O16:P16" si="7">AVERAGE(O8:O12)</f>
        <v>18.137857640372143</v>
      </c>
      <c r="P16" s="23">
        <f t="shared" si="7"/>
        <v>27.613412804037363</v>
      </c>
    </row>
    <row r="17" spans="2:18" ht="16" x14ac:dyDescent="0.2">
      <c r="B17" s="22" t="s">
        <v>34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3">
        <f>MEDIAN(N8:N12)</f>
        <v>2.2308583962953934</v>
      </c>
      <c r="O17" s="23">
        <f t="shared" ref="O17:P17" si="8">MEDIAN(O8:O12)</f>
        <v>15.946362369337978</v>
      </c>
      <c r="P17" s="23">
        <f t="shared" si="8"/>
        <v>20.188931320754715</v>
      </c>
    </row>
    <row r="18" spans="2:18" ht="16" x14ac:dyDescent="0.2">
      <c r="B18" s="1" t="s">
        <v>35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1">
        <f>QUARTILE(N8:N12,1)</f>
        <v>1.792554028169014</v>
      </c>
      <c r="O18" s="21">
        <f t="shared" ref="O18:P18" si="9">QUARTILE(O8:O12,1)</f>
        <v>14.966671972896869</v>
      </c>
      <c r="P18" s="21">
        <f t="shared" si="9"/>
        <v>19.997526438753962</v>
      </c>
    </row>
    <row r="19" spans="2:18" ht="16" x14ac:dyDescent="0.2">
      <c r="B19" s="1" t="s">
        <v>36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1">
        <f>MIN(N8:N12)</f>
        <v>1.782224623815911</v>
      </c>
      <c r="O19" s="21">
        <f t="shared" ref="O19:P19" si="10">MIN(O8:O12)</f>
        <v>14.847332711152589</v>
      </c>
      <c r="P19" s="21">
        <f t="shared" si="10"/>
        <v>18.047510791366907</v>
      </c>
    </row>
    <row r="20" spans="2:18" ht="16" x14ac:dyDescent="0.2"/>
    <row r="21" spans="2:18" ht="16" x14ac:dyDescent="0.2">
      <c r="B21" s="4" t="s">
        <v>37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7" t="s">
        <v>53</v>
      </c>
      <c r="O21" s="7" t="s">
        <v>15</v>
      </c>
      <c r="P21" s="7" t="s">
        <v>16</v>
      </c>
    </row>
    <row r="22" spans="2:18" ht="16" x14ac:dyDescent="0.2">
      <c r="B22" s="29" t="s">
        <v>54</v>
      </c>
      <c r="J22" s="25"/>
      <c r="N22" s="19">
        <f>J7*N16</f>
        <v>15871.08777649781</v>
      </c>
      <c r="O22" s="19">
        <f>K7* O16</f>
        <v>24522.383529783139</v>
      </c>
      <c r="P22" s="19">
        <f>P23+P24</f>
        <v>19187.772537962264</v>
      </c>
      <c r="R22" s="29"/>
    </row>
    <row r="23" spans="2:18" ht="16" x14ac:dyDescent="0.2">
      <c r="B23" s="29" t="s">
        <v>9</v>
      </c>
      <c r="G23" s="18"/>
      <c r="J23" s="25"/>
      <c r="N23" s="19">
        <f>$G$7</f>
        <v>2649</v>
      </c>
      <c r="O23" s="19">
        <f t="shared" ref="O23:P23" si="11">$G$7</f>
        <v>2649</v>
      </c>
      <c r="P23" s="19">
        <f t="shared" si="11"/>
        <v>2649</v>
      </c>
    </row>
    <row r="24" spans="2:18" ht="16" x14ac:dyDescent="0.2">
      <c r="B24" s="29" t="s">
        <v>42</v>
      </c>
      <c r="G24" s="18"/>
      <c r="J24" s="25"/>
      <c r="N24" s="19">
        <f>N22-N23</f>
        <v>13222.08777649781</v>
      </c>
      <c r="O24" s="19">
        <f t="shared" ref="O24" si="12">O22-O23</f>
        <v>21873.383529783139</v>
      </c>
      <c r="P24" s="19">
        <f>P17*L7</f>
        <v>16538.772537962264</v>
      </c>
    </row>
    <row r="25" spans="2:18" ht="16" x14ac:dyDescent="0.2">
      <c r="B25" s="29" t="s">
        <v>7</v>
      </c>
      <c r="G25" s="18"/>
      <c r="N25" s="19">
        <f>$E$7</f>
        <v>47.6</v>
      </c>
      <c r="O25" s="19">
        <f t="shared" ref="O25:P25" si="13">$E$7</f>
        <v>47.6</v>
      </c>
      <c r="P25" s="19">
        <f t="shared" si="13"/>
        <v>47.6</v>
      </c>
    </row>
    <row r="26" spans="2:18" ht="16" x14ac:dyDescent="0.2">
      <c r="B26" s="26" t="s">
        <v>44</v>
      </c>
      <c r="C26" s="26"/>
      <c r="D26" s="27"/>
      <c r="E26" s="27"/>
      <c r="F26" s="26"/>
      <c r="G26" s="28"/>
      <c r="H26" s="26"/>
      <c r="I26" s="26"/>
      <c r="J26" s="26"/>
      <c r="K26" s="26"/>
      <c r="L26" s="26"/>
      <c r="M26" s="26"/>
      <c r="N26" s="40">
        <f>N24/N25</f>
        <v>277.77495328776911</v>
      </c>
      <c r="O26" s="40">
        <f t="shared" ref="O26" si="14">O24/O25</f>
        <v>459.52486407107432</v>
      </c>
      <c r="P26" s="40">
        <f>P24/P25</f>
        <v>347.45320457903915</v>
      </c>
      <c r="Q26" s="41">
        <f>MEDIAN(N26:P26)</f>
        <v>347.45320457903915</v>
      </c>
      <c r="R26" s="29" t="s">
        <v>45</v>
      </c>
    </row>
    <row r="27" spans="2:18" ht="16" x14ac:dyDescent="0.2">
      <c r="D27" s="25"/>
      <c r="E27" s="25"/>
      <c r="G27" s="18"/>
      <c r="Q27" s="41">
        <f>AVERAGE(N26:P26)</f>
        <v>361.58434064596094</v>
      </c>
      <c r="R27" s="29" t="s">
        <v>47</v>
      </c>
    </row>
    <row r="28" spans="2:18" ht="16" x14ac:dyDescent="0.2">
      <c r="D28" s="25"/>
      <c r="E28" s="25"/>
      <c r="G28" s="18"/>
    </row>
    <row r="29" spans="2:18" ht="16" x14ac:dyDescent="0.2">
      <c r="D29" s="25"/>
      <c r="E29" s="25"/>
    </row>
    <row r="30" spans="2:18" ht="16" x14ac:dyDescent="0.2">
      <c r="D30" s="25"/>
      <c r="E30" s="25"/>
    </row>
  </sheetData>
  <mergeCells count="3">
    <mergeCell ref="D4:H4"/>
    <mergeCell ref="J4:L4"/>
    <mergeCell ref="N4:P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NI Brady</vt:lpstr>
      <vt:lpstr>Comps Final</vt:lpstr>
      <vt:lpstr>Comps Final (2)</vt:lpstr>
      <vt:lpstr>Start (3)</vt:lpstr>
      <vt:lpstr>Start (2)</vt:lpstr>
      <vt:lpstr>Start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Rukenbrod, Brody</cp:lastModifiedBy>
  <cp:revision/>
  <dcterms:created xsi:type="dcterms:W3CDTF">2021-12-06T10:27:27Z</dcterms:created>
  <dcterms:modified xsi:type="dcterms:W3CDTF">2025-10-15T22:07:22Z</dcterms:modified>
  <cp:category/>
  <cp:contentStatus/>
</cp:coreProperties>
</file>
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Brady\Downloads\Valuation Models\CCA\"/>
    </mc:Choice>
  </mc:AlternateContent>
  <xr:revisionPtr revIDLastSave="0" documentId="8_{279A4CA6-F5CD-426F-88A9-57F1C72BB554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Cover Page" sheetId="1" r:id="rId1"/>
    <sheet name="Sta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2" l="1"/>
  <c r="N19" i="2"/>
  <c r="N21" i="2"/>
  <c r="O23" i="2"/>
  <c r="N23" i="2"/>
  <c r="P25" i="2"/>
  <c r="F11" i="2"/>
  <c r="H11" i="2"/>
  <c r="N11" i="2"/>
  <c r="O11" i="2"/>
  <c r="P11" i="2"/>
  <c r="F10" i="2"/>
  <c r="H10" i="2"/>
  <c r="N10" i="2" s="1"/>
  <c r="P10" i="2"/>
  <c r="H8" i="2"/>
  <c r="F9" i="2"/>
  <c r="P9" i="2" s="1"/>
  <c r="P22" i="2"/>
  <c r="P20" i="2"/>
  <c r="O20" i="2"/>
  <c r="O22" i="2"/>
  <c r="N20" i="2"/>
  <c r="N22" i="2"/>
  <c r="H7" i="2"/>
  <c r="O10" i="2" l="1"/>
  <c r="H9" i="2"/>
  <c r="N7" i="2"/>
  <c r="O7" i="2"/>
  <c r="P7" i="2"/>
  <c r="P8" i="2"/>
  <c r="P14" i="2" s="1"/>
  <c r="P19" i="2" s="1"/>
  <c r="N8" i="2"/>
  <c r="O8" i="2"/>
  <c r="O9" i="2" l="1"/>
  <c r="N9" i="2"/>
  <c r="N14" i="2" s="1"/>
  <c r="N15" i="2"/>
  <c r="N13" i="2"/>
  <c r="P13" i="2"/>
  <c r="P16" i="2"/>
  <c r="P15" i="2"/>
  <c r="O13" i="2"/>
  <c r="O14" i="2"/>
  <c r="O15" i="2"/>
  <c r="O16" i="2"/>
  <c r="N16" i="2"/>
  <c r="P21" i="2" l="1"/>
  <c r="P23" i="2" s="1"/>
  <c r="O21" i="2"/>
</calcChain>
</file>

<file path=xl/sharedStrings.xml><?xml version="1.0" encoding="utf-8"?>
<sst xmlns="http://schemas.openxmlformats.org/spreadsheetml/2006/main" count="49" uniqueCount="44">
  <si>
    <t>Comparable Companies Valuation</t>
  </si>
  <si>
    <r>
      <rPr>
        <sz val="16"/>
        <color theme="1"/>
        <rFont val="Calibri"/>
        <family val="2"/>
      </rPr>
      <t>Get $50</t>
    </r>
    <r>
      <rPr>
        <b/>
        <sz val="16"/>
        <color theme="1"/>
        <rFont val="Calibri"/>
        <family val="2"/>
      </rPr>
      <t xml:space="preserve"> OFF</t>
    </r>
    <r>
      <rPr>
        <sz val="16"/>
        <color theme="1"/>
        <rFont val="Calibri"/>
        <family val="2"/>
      </rPr>
      <t xml:space="preserve"> our Complete Finance &amp; Valuation Course using coupon code </t>
    </r>
    <r>
      <rPr>
        <b/>
        <sz val="16"/>
        <color theme="1"/>
        <rFont val="Calibri"/>
        <family val="2"/>
      </rPr>
      <t>EARLYFINANCE</t>
    </r>
  </si>
  <si>
    <t>Get Our Complete Finance &amp; Valuation Course</t>
  </si>
  <si>
    <t>Made by Career Principles x Kenji Explains</t>
  </si>
  <si>
    <t>Note</t>
  </si>
  <si>
    <t>All content is copyright material of Career Principles x Kenji Explains.</t>
  </si>
  <si>
    <t>This Excel model may not be reproduced or distributed by any means, including printing, 
screencapturing, or any other method without the prior permission of the publisher.</t>
  </si>
  <si>
    <t>Comparable Companies Analysis</t>
  </si>
  <si>
    <t>Market Data</t>
  </si>
  <si>
    <t>Financials</t>
  </si>
  <si>
    <t>Valuation</t>
  </si>
  <si>
    <t>Company</t>
  </si>
  <si>
    <t>Ticker</t>
  </si>
  <si>
    <t>Share 
Price</t>
  </si>
  <si>
    <t>Shares Outstanding</t>
  </si>
  <si>
    <t>Equity Value</t>
  </si>
  <si>
    <t>Net Debt</t>
  </si>
  <si>
    <t>Enterprise 
Value</t>
  </si>
  <si>
    <t>Revenue</t>
  </si>
  <si>
    <t>EBITDA</t>
  </si>
  <si>
    <t>Net Income</t>
  </si>
  <si>
    <t>EV/NI</t>
  </si>
  <si>
    <t>EV/EBITDA</t>
  </si>
  <si>
    <t>P/E</t>
  </si>
  <si>
    <t>Robinhood</t>
  </si>
  <si>
    <t>HOOD</t>
  </si>
  <si>
    <t>Coinbase</t>
  </si>
  <si>
    <t>COIN</t>
  </si>
  <si>
    <t>Cboe Global</t>
  </si>
  <si>
    <t>CBOE</t>
  </si>
  <si>
    <t xml:space="preserve">TradeWeb </t>
  </si>
  <si>
    <t>TW</t>
  </si>
  <si>
    <t xml:space="preserve">Intercontinental </t>
  </si>
  <si>
    <t>ICE</t>
  </si>
  <si>
    <t>High</t>
  </si>
  <si>
    <t>Average</t>
  </si>
  <si>
    <t>Median</t>
  </si>
  <si>
    <t>Low</t>
  </si>
  <si>
    <t>Robinhood Valuation</t>
  </si>
  <si>
    <t>Implied Enterprise Value</t>
  </si>
  <si>
    <t>Implied Market Value</t>
  </si>
  <si>
    <t>Implied Value Per Share</t>
  </si>
  <si>
    <t>Average PPS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</si>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</sst>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"/>
    <numFmt numFmtId="165" formatCode="_-* #,##0_-;\-* #,##0_-;_-* &quot;-&quot;??_-;_-@"/>
    <numFmt numFmtId="166" formatCode="#,##0.0\x"/>
    <numFmt numFmtId="167" formatCode="_-* #,##0.00\ _€_-;\-* #,##0.00\ _€_-;_-* &quot;-&quot;??\ _€_-;_-@"/>
  </numFmts>
  <fonts count="19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50"/>
      <color theme="1"/>
      <name val="Calibri"/>
      <family val="2"/>
    </font>
    <font>
      <sz val="16"/>
      <color theme="1"/>
      <name val="Calibri"/>
      <family val="2"/>
    </font>
    <font>
      <i/>
      <u/>
      <sz val="14"/>
      <color rgb="FF1155CC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2"/>
      <name val="Calibri"/>
      <family val="2"/>
    </font>
    <font>
      <sz val="12"/>
      <color rgb="FF0432FF"/>
      <name val="Calibri"/>
      <family val="2"/>
    </font>
    <font>
      <b/>
      <sz val="12"/>
      <color theme="1"/>
      <name val="Calibri"/>
      <family val="2"/>
    </font>
    <font>
      <b/>
      <sz val="12"/>
      <color rgb="FF0432FF"/>
      <name val="Calibri"/>
      <family val="2"/>
    </font>
    <font>
      <b/>
      <sz val="16"/>
      <color theme="1"/>
      <name val="Calibri"/>
      <family val="2"/>
    </font>
    <font>
      <u/>
      <sz val="12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  <font>
      <b/>
      <sz val="18"/>
      <color theme="1"/>
      <name val="Calibri"/>
      <family val="2"/>
    </font>
    <font>
      <sz val="12"/>
      <color theme="1"/>
      <name val="Calibri"/>
      <family val="2"/>
      <scheme val="major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theme="1"/>
        <bgColor rgb="FF293D68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rgb="FFD9E2F3"/>
      </patternFill>
    </fill>
    <fill>
      <patternFill patternType="solid">
        <fgColor rgb="FFBFBFBF"/>
        <bgColor rgb="FFD9E2F3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rgb="FF293D68"/>
      </bottom>
      <diagonal/>
    </border>
    <border>
      <left/>
      <right/>
      <top/>
      <bottom style="thin">
        <color theme="0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A5A5A5"/>
      </top>
      <bottom style="thin">
        <color rgb="FFA5A5A5"/>
      </bottom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0" fontId="1" fillId="0" borderId="1"/>
  </cellStyleXfs>
  <cellXfs count="73">
    <xf numFmtId="0" fontId="0" fillId="0" borderId="0" xfId="0"/>
    <xf numFmtId="0" fontId="2" fillId="2" borderId="1" xfId="0" applyFont="1" applyFill="1" applyBorder="1"/>
    <xf numFmtId="0" fontId="2" fillId="0" borderId="2" xfId="0" applyFont="1" applyBorder="1"/>
    <xf numFmtId="0" fontId="3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0" borderId="0" xfId="0" applyFont="1"/>
    <xf numFmtId="0" fontId="2" fillId="0" borderId="0" xfId="0" applyFont="1"/>
    <xf numFmtId="0" fontId="2" fillId="2" borderId="1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5" fillId="0" borderId="0" xfId="0" applyFont="1"/>
    <xf numFmtId="0" fontId="6" fillId="0" borderId="0" xfId="0" applyFont="1"/>
    <xf numFmtId="0" fontId="6" fillId="0" borderId="8" xfId="0" applyFont="1" applyBorder="1"/>
    <xf numFmtId="0" fontId="7" fillId="0" borderId="0" xfId="0" applyFont="1"/>
    <xf numFmtId="0" fontId="2" fillId="0" borderId="0" xfId="0" applyFont="1" applyAlignment="1">
      <alignment vertical="top" wrapText="1"/>
    </xf>
    <xf numFmtId="0" fontId="2" fillId="0" borderId="9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11" xfId="0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10" fillId="0" borderId="0" xfId="0" applyNumberFormat="1" applyFont="1"/>
    <xf numFmtId="165" fontId="2" fillId="0" borderId="0" xfId="0" applyNumberFormat="1" applyFont="1"/>
    <xf numFmtId="167" fontId="2" fillId="0" borderId="0" xfId="0" applyNumberFormat="1" applyFont="1"/>
    <xf numFmtId="0" fontId="15" fillId="3" borderId="7" xfId="1" applyFont="1" applyFill="1" applyBorder="1" applyAlignment="1">
      <alignment horizontal="center" vertical="center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6" fillId="0" borderId="11" xfId="0" applyFont="1" applyBorder="1"/>
    <xf numFmtId="0" fontId="2" fillId="6" borderId="1" xfId="0" applyFont="1" applyFill="1" applyBorder="1"/>
    <xf numFmtId="166" fontId="2" fillId="6" borderId="1" xfId="0" applyNumberFormat="1" applyFont="1" applyFill="1" applyBorder="1"/>
    <xf numFmtId="0" fontId="11" fillId="6" borderId="1" xfId="0" applyFont="1" applyFill="1" applyBorder="1"/>
    <xf numFmtId="166" fontId="11" fillId="6" borderId="1" xfId="0" applyNumberFormat="1" applyFont="1" applyFill="1" applyBorder="1"/>
    <xf numFmtId="0" fontId="11" fillId="6" borderId="15" xfId="0" applyFont="1" applyFill="1" applyBorder="1"/>
    <xf numFmtId="167" fontId="11" fillId="6" borderId="15" xfId="0" applyNumberFormat="1" applyFont="1" applyFill="1" applyBorder="1"/>
    <xf numFmtId="165" fontId="12" fillId="6" borderId="15" xfId="0" applyNumberFormat="1" applyFont="1" applyFill="1" applyBorder="1"/>
    <xf numFmtId="164" fontId="11" fillId="6" borderId="15" xfId="0" applyNumberFormat="1" applyFont="1" applyFill="1" applyBorder="1"/>
    <xf numFmtId="0" fontId="17" fillId="0" borderId="0" xfId="0" applyFont="1"/>
    <xf numFmtId="3" fontId="17" fillId="0" borderId="0" xfId="0" applyNumberFormat="1" applyFont="1" applyAlignment="1">
      <alignment horizontal="right"/>
    </xf>
    <xf numFmtId="0" fontId="17" fillId="6" borderId="13" xfId="0" applyFont="1" applyFill="1" applyBorder="1"/>
    <xf numFmtId="0" fontId="17" fillId="6" borderId="14" xfId="0" applyFont="1" applyFill="1" applyBorder="1" applyAlignment="1">
      <alignment horizontal="center"/>
    </xf>
    <xf numFmtId="164" fontId="17" fillId="6" borderId="14" xfId="0" applyNumberFormat="1" applyFont="1" applyFill="1" applyBorder="1" applyAlignment="1">
      <alignment vertical="top"/>
    </xf>
    <xf numFmtId="164" fontId="17" fillId="6" borderId="14" xfId="0" applyNumberFormat="1" applyFont="1" applyFill="1" applyBorder="1"/>
    <xf numFmtId="165" fontId="17" fillId="6" borderId="14" xfId="0" applyNumberFormat="1" applyFont="1" applyFill="1" applyBorder="1"/>
    <xf numFmtId="165" fontId="17" fillId="6" borderId="14" xfId="0" applyNumberFormat="1" applyFont="1" applyFill="1" applyBorder="1" applyAlignment="1">
      <alignment horizontal="right"/>
    </xf>
    <xf numFmtId="0" fontId="17" fillId="0" borderId="0" xfId="0" applyFont="1" applyAlignment="1">
      <alignment horizontal="center"/>
    </xf>
    <xf numFmtId="164" fontId="17" fillId="0" borderId="0" xfId="0" applyNumberFormat="1" applyFont="1" applyAlignment="1">
      <alignment vertical="top"/>
    </xf>
    <xf numFmtId="164" fontId="17" fillId="0" borderId="0" xfId="0" applyNumberFormat="1" applyFont="1"/>
    <xf numFmtId="165" fontId="17" fillId="0" borderId="0" xfId="0" applyNumberFormat="1" applyFont="1"/>
    <xf numFmtId="166" fontId="17" fillId="0" borderId="0" xfId="0" applyNumberFormat="1" applyFont="1"/>
    <xf numFmtId="0" fontId="17" fillId="0" borderId="1" xfId="0" applyFont="1" applyBorder="1"/>
    <xf numFmtId="0" fontId="17" fillId="0" borderId="0" xfId="0" applyFont="1" applyAlignment="1">
      <alignment vertical="top"/>
    </xf>
    <xf numFmtId="164" fontId="17" fillId="0" borderId="0" xfId="0" applyNumberFormat="1" applyFont="1" applyAlignment="1">
      <alignment horizontal="left" vertical="top"/>
    </xf>
    <xf numFmtId="164" fontId="17" fillId="0" borderId="0" xfId="0" applyNumberFormat="1" applyFont="1" applyAlignment="1">
      <alignment horizontal="left"/>
    </xf>
    <xf numFmtId="166" fontId="17" fillId="6" borderId="1" xfId="0" applyNumberFormat="1" applyFont="1" applyFill="1" applyBorder="1"/>
    <xf numFmtId="164" fontId="0" fillId="0" borderId="0" xfId="0" applyNumberFormat="1"/>
    <xf numFmtId="0" fontId="11" fillId="6" borderId="17" xfId="0" applyFont="1" applyFill="1" applyBorder="1"/>
    <xf numFmtId="167" fontId="11" fillId="6" borderId="17" xfId="0" applyNumberFormat="1" applyFont="1" applyFill="1" applyBorder="1"/>
    <xf numFmtId="165" fontId="12" fillId="6" borderId="17" xfId="0" applyNumberFormat="1" applyFont="1" applyFill="1" applyBorder="1"/>
    <xf numFmtId="164" fontId="11" fillId="6" borderId="17" xfId="0" applyNumberFormat="1" applyFont="1" applyFill="1" applyBorder="1"/>
    <xf numFmtId="164" fontId="11" fillId="6" borderId="18" xfId="0" applyNumberFormat="1" applyFont="1" applyFill="1" applyBorder="1"/>
    <xf numFmtId="0" fontId="11" fillId="6" borderId="16" xfId="0" applyFont="1" applyFill="1" applyBorder="1" applyAlignment="1">
      <alignment wrapText="1"/>
    </xf>
    <xf numFmtId="3" fontId="18" fillId="7" borderId="19" xfId="0" applyNumberFormat="1" applyFont="1" applyFill="1" applyBorder="1"/>
    <xf numFmtId="0" fontId="18" fillId="0" borderId="1" xfId="0" applyFont="1" applyBorder="1"/>
    <xf numFmtId="3" fontId="18" fillId="0" borderId="1" xfId="0" applyNumberFormat="1" applyFont="1" applyBorder="1"/>
    <xf numFmtId="0" fontId="7" fillId="0" borderId="0" xfId="0" applyFont="1" applyAlignment="1">
      <alignment wrapText="1"/>
    </xf>
    <xf numFmtId="0" fontId="8" fillId="4" borderId="12" xfId="0" applyFont="1" applyFill="1" applyBorder="1" applyAlignment="1">
      <alignment horizontal="center"/>
    </xf>
    <xf numFmtId="0" fontId="9" fillId="5" borderId="12" xfId="0" applyFont="1" applyFill="1" applyBorder="1"/>
  </cellXfs>
  <cellStyles count="3">
    <cellStyle name="Hyperlink" xfId="1" builtinId="8"/>
    <cellStyle name="Normal" xfId="0" builtinId="0"/>
    <cellStyle name="Normal 2" xfId="2" xr:uid="{AE8A39C8-75CF-4E0D-8FAD-DD2A4D0FD9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3829050</xdr:colOff>
      <xdr:row>9</xdr:row>
      <xdr:rowOff>190500</xdr:rowOff>
    </xdr:from>
    <xdr:ext cx="2886075" cy="8286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" TargetMode="External"/><Relationship Id="rId1" Type="http://schemas.openxmlformats.org/officeDocument/2006/relationships/hyperlink" Target="https://www.careerprinciples.com/courses/finance-valuation-course?utm_source=YTDownloadFile&amp;utm_medium=comparable-company-analysis-apr-3-2022&amp;utm_campaign=YTDownloa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showGridLines="0" workbookViewId="0">
      <selection activeCell="A2" sqref="A2:E23"/>
    </sheetView>
  </sheetViews>
  <sheetFormatPr defaultColWidth="11.25" defaultRowHeight="15" customHeight="1" x14ac:dyDescent="0.35"/>
  <cols>
    <col min="1" max="1" width="10.75" customWidth="1"/>
    <col min="2" max="2" width="8.5" customWidth="1"/>
    <col min="3" max="3" width="124.08203125" customWidth="1"/>
    <col min="4" max="4" width="9.5" customWidth="1"/>
    <col min="5" max="26" width="10.75" customWidth="1"/>
  </cols>
  <sheetData>
    <row r="1" spans="1:26" ht="15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3.5" customHeight="1" x14ac:dyDescent="0.35">
      <c r="A4" s="1"/>
      <c r="B4" s="2"/>
      <c r="C4" s="3" t="s">
        <v>0</v>
      </c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5" x14ac:dyDescent="0.35">
      <c r="A5" s="1"/>
      <c r="B5" s="5"/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5" x14ac:dyDescent="0.35">
      <c r="A6" s="1"/>
      <c r="B6" s="5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 customHeight="1" x14ac:dyDescent="0.5">
      <c r="A7" s="1"/>
      <c r="B7" s="5"/>
      <c r="C7" s="7" t="s">
        <v>1</v>
      </c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1"/>
      <c r="B8" s="5"/>
      <c r="C8" s="8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5" customHeight="1" x14ac:dyDescent="0.35">
      <c r="A9" s="9"/>
      <c r="B9" s="10"/>
      <c r="C9" s="27" t="s">
        <v>2</v>
      </c>
      <c r="D9" s="11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5" x14ac:dyDescent="0.35">
      <c r="A10" s="1"/>
      <c r="B10" s="5"/>
      <c r="D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5" x14ac:dyDescent="0.35">
      <c r="A11" s="1"/>
      <c r="B11" s="5"/>
      <c r="D11" s="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5" x14ac:dyDescent="0.35">
      <c r="A12" s="1"/>
      <c r="B12" s="5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5" x14ac:dyDescent="0.35">
      <c r="A13" s="1"/>
      <c r="B13" s="5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5" x14ac:dyDescent="0.35">
      <c r="A14" s="1"/>
      <c r="B14" s="5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5" x14ac:dyDescent="0.35">
      <c r="A15" s="1"/>
      <c r="B15" s="5"/>
      <c r="D15" s="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3.25" customHeight="1" x14ac:dyDescent="0.45">
      <c r="A16" s="1"/>
      <c r="B16" s="5"/>
      <c r="C16" s="12" t="s">
        <v>3</v>
      </c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5" x14ac:dyDescent="0.35">
      <c r="A17" s="1"/>
      <c r="B17" s="5"/>
      <c r="C17" s="13"/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5" x14ac:dyDescent="0.35">
      <c r="A18" s="1"/>
      <c r="B18" s="5"/>
      <c r="C18" s="14" t="s">
        <v>4</v>
      </c>
      <c r="D18" s="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5" x14ac:dyDescent="0.35">
      <c r="A19" s="1"/>
      <c r="B19" s="5"/>
      <c r="C19" s="15" t="s">
        <v>5</v>
      </c>
      <c r="D19" s="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1" x14ac:dyDescent="0.35">
      <c r="A20" s="1"/>
      <c r="B20" s="5"/>
      <c r="C20" s="16" t="s">
        <v>6</v>
      </c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5" x14ac:dyDescent="0.35">
      <c r="A21" s="1"/>
      <c r="B21" s="17"/>
      <c r="C21" s="18"/>
      <c r="D21" s="19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5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5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sheetProtection algorithmName="SHA-512" hashValue="45Z3Xc5lAUQu+NEBfrVu8susBJL9B+m2S/fgzcPN454JzUITYgPO79Rs8ZWY3RBFMu/uWNVv8oamVCVyARe/Jg==" saltValue="yTJz19lyinRUFWp8qovoWw==" spinCount="100000" sheet="1" objects="1" scenarios="1"/>
  <hyperlinks>
    <hyperlink ref="C9" r:id="rId1" xr:uid="{00000000-0004-0000-0000-000000000000}"/>
    <hyperlink ref="C16" r:id="rId2" xr:uid="{00000000-0004-0000-0000-000001000000}"/>
  </hyperlinks>
  <pageMargins left="0.7" right="0.7" top="0.75" bottom="0.75" header="0" footer="0"/>
  <pageSetup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29"/>
  <sheetViews>
    <sheetView showGridLines="0" tabSelected="1" topLeftCell="A2" zoomScale="61" zoomScaleNormal="80" workbookViewId="0">
      <selection activeCell="L13" sqref="L13"/>
    </sheetView>
  </sheetViews>
  <sheetFormatPr defaultColWidth="11.25" defaultRowHeight="15" customHeight="1" x14ac:dyDescent="0.35"/>
  <cols>
    <col min="1" max="1" width="10.58203125" customWidth="1"/>
    <col min="2" max="3" width="14.08203125" customWidth="1"/>
    <col min="4" max="4" width="10.33203125" customWidth="1"/>
    <col min="5" max="6" width="11.5" customWidth="1"/>
    <col min="7" max="7" width="11.33203125" customWidth="1"/>
    <col min="8" max="8" width="10.58203125" customWidth="1"/>
    <col min="9" max="9" width="3.75" customWidth="1"/>
    <col min="10" max="10" width="11.5" customWidth="1"/>
    <col min="11" max="12" width="10.58203125" customWidth="1"/>
    <col min="13" max="13" width="3.75" customWidth="1"/>
    <col min="14" max="14" width="11.5" customWidth="1"/>
    <col min="15" max="25" width="10.58203125" customWidth="1"/>
  </cols>
  <sheetData>
    <row r="1" spans="2:16" ht="15.5" x14ac:dyDescent="0.35"/>
    <row r="2" spans="2:16" ht="23.5" x14ac:dyDescent="0.55000000000000004">
      <c r="B2" s="33" t="s">
        <v>7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2:16" ht="15.5" x14ac:dyDescent="0.35"/>
    <row r="4" spans="2:16" ht="15.5" x14ac:dyDescent="0.35">
      <c r="B4" s="28"/>
      <c r="C4" s="28"/>
      <c r="D4" s="71" t="s">
        <v>8</v>
      </c>
      <c r="E4" s="72"/>
      <c r="F4" s="72"/>
      <c r="G4" s="72"/>
      <c r="H4" s="72"/>
      <c r="I4" s="28"/>
      <c r="J4" s="71" t="s">
        <v>9</v>
      </c>
      <c r="K4" s="72"/>
      <c r="L4" s="72"/>
      <c r="M4" s="28"/>
      <c r="N4" s="71" t="s">
        <v>10</v>
      </c>
      <c r="O4" s="72"/>
      <c r="P4" s="72"/>
    </row>
    <row r="5" spans="2:16" ht="31" x14ac:dyDescent="0.35">
      <c r="B5" s="29" t="s">
        <v>11</v>
      </c>
      <c r="C5" s="29" t="s">
        <v>12</v>
      </c>
      <c r="D5" s="30" t="s">
        <v>13</v>
      </c>
      <c r="E5" s="30" t="s">
        <v>14</v>
      </c>
      <c r="F5" s="30" t="s">
        <v>15</v>
      </c>
      <c r="G5" s="30" t="s">
        <v>16</v>
      </c>
      <c r="H5" s="30" t="s">
        <v>17</v>
      </c>
      <c r="I5" s="31"/>
      <c r="J5" s="31" t="s">
        <v>18</v>
      </c>
      <c r="K5" s="31" t="s">
        <v>19</v>
      </c>
      <c r="L5" s="31" t="s">
        <v>20</v>
      </c>
      <c r="M5" s="31"/>
      <c r="N5" s="31" t="s">
        <v>21</v>
      </c>
      <c r="O5" s="31" t="s">
        <v>22</v>
      </c>
      <c r="P5" s="31" t="s">
        <v>23</v>
      </c>
    </row>
    <row r="6" spans="2:16" ht="9" customHeight="1" x14ac:dyDescent="0.35">
      <c r="B6" s="21"/>
      <c r="C6" s="21"/>
      <c r="D6" s="22"/>
      <c r="E6" s="22"/>
      <c r="G6" s="22"/>
      <c r="H6" s="22"/>
      <c r="I6" s="23"/>
      <c r="J6" s="23"/>
      <c r="K6" s="23"/>
      <c r="L6" s="23"/>
      <c r="M6" s="23"/>
      <c r="N6" s="23"/>
      <c r="O6" s="23"/>
      <c r="P6" s="23"/>
    </row>
    <row r="7" spans="2:16" ht="15.5" x14ac:dyDescent="0.35">
      <c r="B7" s="44" t="s">
        <v>24</v>
      </c>
      <c r="C7" s="45" t="s">
        <v>25</v>
      </c>
      <c r="D7" s="46">
        <v>41.62</v>
      </c>
      <c r="E7" s="47">
        <v>767.95</v>
      </c>
      <c r="F7" s="48">
        <v>37520</v>
      </c>
      <c r="G7" s="48">
        <v>7463</v>
      </c>
      <c r="H7" s="48">
        <f>F7+G7</f>
        <v>44983</v>
      </c>
      <c r="I7" s="48"/>
      <c r="J7" s="49">
        <v>2951</v>
      </c>
      <c r="K7" s="67">
        <v>1431</v>
      </c>
      <c r="L7" s="48">
        <v>916</v>
      </c>
      <c r="M7" s="48"/>
      <c r="N7" s="59">
        <f>H7/L7</f>
        <v>49.10807860262009</v>
      </c>
      <c r="O7" s="59">
        <f>H7/K7</f>
        <v>31.43466107617051</v>
      </c>
      <c r="P7" s="59">
        <f>F7/L7</f>
        <v>40.960698689956331</v>
      </c>
    </row>
    <row r="8" spans="2:16" ht="15.5" x14ac:dyDescent="0.35">
      <c r="B8" s="42" t="s">
        <v>26</v>
      </c>
      <c r="C8" s="50" t="s">
        <v>27</v>
      </c>
      <c r="D8" s="51">
        <v>172.23</v>
      </c>
      <c r="E8" s="52">
        <v>210.16</v>
      </c>
      <c r="F8" s="53">
        <v>48490</v>
      </c>
      <c r="G8" s="53">
        <v>4309</v>
      </c>
      <c r="H8" s="53">
        <f t="shared" ref="H8:H10" si="0">F8+G8</f>
        <v>52799</v>
      </c>
      <c r="I8" s="53"/>
      <c r="J8" s="43">
        <v>6564</v>
      </c>
      <c r="K8" s="69">
        <v>2435</v>
      </c>
      <c r="L8" s="53">
        <v>1290</v>
      </c>
      <c r="M8" s="53"/>
      <c r="N8" s="54">
        <f>H8/L8</f>
        <v>40.929457364341083</v>
      </c>
      <c r="O8" s="54">
        <f>H8/K8</f>
        <v>21.683367556468173</v>
      </c>
      <c r="P8" s="54">
        <f>F8/L8</f>
        <v>37.589147286821706</v>
      </c>
    </row>
    <row r="9" spans="2:16" ht="15.5" x14ac:dyDescent="0.35">
      <c r="B9" s="55" t="s">
        <v>28</v>
      </c>
      <c r="C9" s="50" t="s">
        <v>29</v>
      </c>
      <c r="D9" s="51">
        <v>226.29</v>
      </c>
      <c r="E9" s="52">
        <v>104.7</v>
      </c>
      <c r="F9" s="53">
        <f t="shared" ref="F9:F11" si="1">D9*E9</f>
        <v>23692.562999999998</v>
      </c>
      <c r="G9" s="53">
        <v>1441</v>
      </c>
      <c r="H9" s="53">
        <f t="shared" si="0"/>
        <v>25133.562999999998</v>
      </c>
      <c r="I9" s="53"/>
      <c r="J9" s="53">
        <v>3774</v>
      </c>
      <c r="K9" s="69">
        <v>1282</v>
      </c>
      <c r="L9" s="53">
        <v>761</v>
      </c>
      <c r="M9" s="53"/>
      <c r="N9" s="54">
        <f t="shared" ref="N9:N11" si="2">H9/L9</f>
        <v>33.027021024967148</v>
      </c>
      <c r="O9" s="54">
        <f t="shared" ref="O9:O11" si="3">H9/K9</f>
        <v>19.60496333853354</v>
      </c>
      <c r="P9" s="54">
        <f t="shared" ref="P9:P10" si="4">F9/L9</f>
        <v>31.133459921156369</v>
      </c>
    </row>
    <row r="10" spans="2:16" ht="15.5" x14ac:dyDescent="0.35">
      <c r="B10" s="42" t="s">
        <v>30</v>
      </c>
      <c r="C10" s="50" t="s">
        <v>31</v>
      </c>
      <c r="D10" s="56">
        <v>148.46</v>
      </c>
      <c r="E10" s="42">
        <v>236.17</v>
      </c>
      <c r="F10" s="53">
        <f t="shared" si="1"/>
        <v>35061.798199999997</v>
      </c>
      <c r="G10" s="53">
        <v>2917</v>
      </c>
      <c r="H10" s="53">
        <f t="shared" si="0"/>
        <v>37978.798199999997</v>
      </c>
      <c r="I10" s="53"/>
      <c r="J10" s="53">
        <v>1726</v>
      </c>
      <c r="K10" s="68">
        <v>898</v>
      </c>
      <c r="L10" s="53">
        <v>570</v>
      </c>
      <c r="M10" s="53"/>
      <c r="N10" s="54">
        <f t="shared" si="2"/>
        <v>66.629470526315785</v>
      </c>
      <c r="O10" s="54">
        <f t="shared" si="3"/>
        <v>42.292648329621379</v>
      </c>
      <c r="P10" s="54">
        <f t="shared" si="4"/>
        <v>61.51192666666666</v>
      </c>
    </row>
    <row r="11" spans="2:16" ht="15.5" x14ac:dyDescent="0.35">
      <c r="B11" s="55" t="s">
        <v>32</v>
      </c>
      <c r="C11" s="50" t="s">
        <v>33</v>
      </c>
      <c r="D11" s="57">
        <v>172.5</v>
      </c>
      <c r="E11" s="58">
        <v>574.55999999999995</v>
      </c>
      <c r="F11" s="53">
        <f t="shared" si="1"/>
        <v>99111.599999999991</v>
      </c>
      <c r="G11" s="53">
        <v>19556</v>
      </c>
      <c r="H11" s="53">
        <f>F11+G11</f>
        <v>118667.59999999999</v>
      </c>
      <c r="I11" s="53"/>
      <c r="J11" s="53">
        <v>9279</v>
      </c>
      <c r="K11" s="69">
        <v>6075</v>
      </c>
      <c r="L11" s="53">
        <v>2754</v>
      </c>
      <c r="M11" s="53"/>
      <c r="N11" s="54">
        <f t="shared" si="2"/>
        <v>43.089179375453881</v>
      </c>
      <c r="O11" s="54">
        <f t="shared" si="3"/>
        <v>19.533761316872425</v>
      </c>
      <c r="P11" s="54">
        <f>F11/L11</f>
        <v>35.988235294117644</v>
      </c>
    </row>
    <row r="12" spans="2:16" ht="15.5" x14ac:dyDescent="0.35">
      <c r="E12" s="25"/>
      <c r="N12" s="15"/>
      <c r="O12" s="15"/>
    </row>
    <row r="13" spans="2:16" ht="15.5" x14ac:dyDescent="0.35">
      <c r="B13" s="34" t="s">
        <v>34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5">
        <f>MAX(N7:N11)</f>
        <v>66.629470526315785</v>
      </c>
      <c r="O13" s="35">
        <f>MAX(O7:O11)</f>
        <v>42.292648329621379</v>
      </c>
      <c r="P13" s="35">
        <f>MAX(P7:P11)</f>
        <v>61.51192666666666</v>
      </c>
    </row>
    <row r="14" spans="2:16" ht="15.5" x14ac:dyDescent="0.35">
      <c r="B14" s="36" t="s">
        <v>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>
        <f>AVERAGE(N7:N11)</f>
        <v>46.556641378739599</v>
      </c>
      <c r="O14" s="37">
        <f>AVERAGE(O7:O11)</f>
        <v>26.909880323533201</v>
      </c>
      <c r="P14" s="37">
        <f>AVERAGE(P7:P11)</f>
        <v>41.436693571743739</v>
      </c>
    </row>
    <row r="15" spans="2:16" ht="15.5" x14ac:dyDescent="0.35">
      <c r="B15" s="36" t="s">
        <v>36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>
        <f>MEDIAN(N7:N11)</f>
        <v>43.089179375453881</v>
      </c>
      <c r="O15" s="37">
        <f>MEDIAN(O7:O11)</f>
        <v>21.683367556468173</v>
      </c>
      <c r="P15" s="37">
        <f>MEDIAN(P7:P11)</f>
        <v>37.589147286821706</v>
      </c>
    </row>
    <row r="16" spans="2:16" ht="15.5" x14ac:dyDescent="0.35">
      <c r="B16" s="34" t="s">
        <v>37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5">
        <f>MIN(N7:N11)</f>
        <v>33.027021024967148</v>
      </c>
      <c r="O16" s="35">
        <f t="shared" ref="O16:P16" si="5">MIN(O7:O11)</f>
        <v>19.533761316872425</v>
      </c>
      <c r="P16" s="35">
        <f t="shared" si="5"/>
        <v>31.133459921156369</v>
      </c>
    </row>
    <row r="17" spans="2:16" ht="15.5" x14ac:dyDescent="0.35"/>
    <row r="18" spans="2:16" ht="15.5" x14ac:dyDescent="0.35">
      <c r="B18" s="28" t="s">
        <v>38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0" t="s">
        <v>21</v>
      </c>
      <c r="O18" s="31" t="s">
        <v>22</v>
      </c>
      <c r="P18" s="31" t="s">
        <v>23</v>
      </c>
    </row>
    <row r="19" spans="2:16" ht="15.5" x14ac:dyDescent="0.35">
      <c r="B19" s="15" t="s">
        <v>39</v>
      </c>
      <c r="J19" s="26"/>
      <c r="N19" s="25">
        <f>N14*L7</f>
        <v>42645.88350292547</v>
      </c>
      <c r="O19" s="25">
        <f>O14*K7</f>
        <v>38508.038742976009</v>
      </c>
      <c r="P19" s="25">
        <f>P14*$L$7</f>
        <v>37956.011311717266</v>
      </c>
    </row>
    <row r="20" spans="2:16" ht="15.5" x14ac:dyDescent="0.35">
      <c r="B20" s="15" t="s">
        <v>16</v>
      </c>
      <c r="G20" s="24"/>
      <c r="J20" s="26"/>
      <c r="N20" s="25">
        <f>$G$7</f>
        <v>7463</v>
      </c>
      <c r="O20" s="25">
        <f>$G$7</f>
        <v>7463</v>
      </c>
      <c r="P20" s="25">
        <f>$G$7</f>
        <v>7463</v>
      </c>
    </row>
    <row r="21" spans="2:16" ht="15.5" x14ac:dyDescent="0.35">
      <c r="B21" s="15" t="s">
        <v>40</v>
      </c>
      <c r="G21" s="24"/>
      <c r="J21" s="26"/>
      <c r="N21" s="25">
        <f>N19-$N$20</f>
        <v>35182.88350292547</v>
      </c>
      <c r="O21" s="25">
        <f>O19-$N$20</f>
        <v>31045.038742976009</v>
      </c>
      <c r="P21" s="25">
        <f>P19-P20</f>
        <v>30493.011311717266</v>
      </c>
    </row>
    <row r="22" spans="2:16" ht="15.5" x14ac:dyDescent="0.35">
      <c r="B22" s="15" t="s">
        <v>14</v>
      </c>
      <c r="G22" s="24"/>
      <c r="N22" s="25">
        <f>$E$7</f>
        <v>767.95</v>
      </c>
      <c r="O22" s="25">
        <f>$E$7</f>
        <v>767.95</v>
      </c>
      <c r="P22" s="25">
        <f>$E$7</f>
        <v>767.95</v>
      </c>
    </row>
    <row r="23" spans="2:16" ht="15.5" x14ac:dyDescent="0.35">
      <c r="B23" s="38" t="s">
        <v>41</v>
      </c>
      <c r="C23" s="38"/>
      <c r="D23" s="39"/>
      <c r="E23" s="39"/>
      <c r="F23" s="38"/>
      <c r="G23" s="40"/>
      <c r="H23" s="38"/>
      <c r="I23" s="38"/>
      <c r="J23" s="38"/>
      <c r="K23" s="38"/>
      <c r="L23" s="38"/>
      <c r="M23" s="38"/>
      <c r="N23" s="41">
        <f>N21/N22</f>
        <v>45.814028911941492</v>
      </c>
      <c r="O23" s="41">
        <f>O21/O22</f>
        <v>40.425859421806116</v>
      </c>
      <c r="P23" s="41">
        <f>P21/P22</f>
        <v>39.707026905029316</v>
      </c>
    </row>
    <row r="24" spans="2:16" ht="16" thickBot="1" x14ac:dyDescent="0.4">
      <c r="D24" s="26"/>
      <c r="E24" s="26"/>
      <c r="G24" s="24"/>
    </row>
    <row r="25" spans="2:16" ht="16" thickBot="1" x14ac:dyDescent="0.4">
      <c r="B25" s="66" t="s">
        <v>42</v>
      </c>
      <c r="C25" s="61"/>
      <c r="D25" s="62"/>
      <c r="E25" s="62"/>
      <c r="F25" s="61"/>
      <c r="G25" s="63"/>
      <c r="H25" s="61"/>
      <c r="I25" s="61"/>
      <c r="J25" s="61"/>
      <c r="K25" s="61"/>
      <c r="L25" s="61"/>
      <c r="M25" s="61"/>
      <c r="N25" s="64"/>
      <c r="O25" s="64"/>
      <c r="P25" s="65">
        <f>AVERAGE(N23:P23)</f>
        <v>41.982305079592315</v>
      </c>
    </row>
    <row r="26" spans="2:16" ht="15.5" x14ac:dyDescent="0.35">
      <c r="D26" s="26"/>
      <c r="E26" s="26"/>
      <c r="N26" s="15"/>
      <c r="O26" s="60"/>
      <c r="P26" s="15" t="s">
        <v>43</v>
      </c>
    </row>
    <row r="27" spans="2:16" ht="15.5" x14ac:dyDescent="0.35">
      <c r="D27" s="26"/>
      <c r="E27" s="26"/>
      <c r="N27" s="70"/>
      <c r="O27" s="60"/>
    </row>
    <row r="28" spans="2:16" ht="15.5" x14ac:dyDescent="0.35"/>
    <row r="29" spans="2:16" ht="15.5" x14ac:dyDescent="0.35"/>
  </sheetData>
  <mergeCells count="3">
    <mergeCell ref="D4:H4"/>
    <mergeCell ref="J4:L4"/>
    <mergeCell ref="N4:P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Start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Thompson, Brady</cp:lastModifiedBy>
  <cp:revision/>
  <dcterms:created xsi:type="dcterms:W3CDTF">2021-12-06T10:27:27Z</dcterms:created>
  <dcterms:modified xsi:type="dcterms:W3CDTF">2025-10-15T22:08:52Z</dcterms:modified>
  <cp:category/>
  <cp:contentStatus/>
</cp:coreProperties>
</file>
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https://loyolauniversitychicago-my.sharepoint.com/personal/bthompson17_luc_edu/Documents/"/>
    </mc:Choice>
  </mc:AlternateContent>
  <xr:revisionPtr revIDLastSave="1" documentId="8_{E74B3600-42DC-4F09-AA9F-6672C32CD37B}" xr6:coauthVersionLast="47" xr6:coauthVersionMax="47" xr10:uidLastSave="{E21A73D7-592A-407B-A014-56C590001E45}"/>
  <bookViews>
    <workbookView xWindow="-120" yWindow="-120" windowWidth="38640" windowHeight="21240" activeTab="1" xr2:uid="{026056ED-4D57-40E0-8D74-DF0BE3F696FA}"/>
  </bookViews>
  <sheets>
    <sheet name="DCF" sheetId="1" r:id="rId1"/>
    <sheet name="WACC" sheetId="2" r:id="rId2"/>
    <sheet name="TGR and TV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11" i="1" l="1"/>
  <c r="AD10" i="1"/>
  <c r="Q24" i="2"/>
  <c r="Q21" i="2"/>
  <c r="H32" i="1"/>
  <c r="F32" i="1"/>
  <c r="F44" i="1"/>
  <c r="F37" i="1"/>
  <c r="K27" i="2"/>
  <c r="K8" i="2"/>
  <c r="K11" i="2" s="1"/>
  <c r="Q50" i="1"/>
  <c r="Q22" i="2"/>
  <c r="E16" i="2"/>
  <c r="R28" i="1"/>
  <c r="D55" i="1"/>
  <c r="E46" i="3"/>
  <c r="F33" i="3" s="1"/>
  <c r="O48" i="1"/>
  <c r="P48" i="1"/>
  <c r="N48" i="1"/>
  <c r="Q48" i="1"/>
  <c r="O46" i="1"/>
  <c r="P46" i="1" s="1"/>
  <c r="N46" i="1"/>
  <c r="Q46" i="1"/>
  <c r="G44" i="1"/>
  <c r="H44" i="1"/>
  <c r="I44" i="1"/>
  <c r="J44" i="1"/>
  <c r="O34" i="1"/>
  <c r="P34" i="1"/>
  <c r="N34" i="1"/>
  <c r="R34" i="1"/>
  <c r="K44" i="1"/>
  <c r="L44" i="1"/>
  <c r="M44" i="1"/>
  <c r="N44" i="1"/>
  <c r="O44" i="1"/>
  <c r="P44" i="1"/>
  <c r="N28" i="1"/>
  <c r="O28" i="1" s="1"/>
  <c r="P28" i="1" s="1"/>
  <c r="P32" i="1" s="1"/>
  <c r="R32" i="1" s="1"/>
  <c r="L43" i="1"/>
  <c r="M43" i="1"/>
  <c r="N43" i="1"/>
  <c r="O43" i="1"/>
  <c r="P43" i="1"/>
  <c r="K43" i="1"/>
  <c r="L36" i="1"/>
  <c r="M36" i="1"/>
  <c r="N36" i="1"/>
  <c r="O36" i="1"/>
  <c r="P36" i="1"/>
  <c r="K36" i="1"/>
  <c r="L27" i="1"/>
  <c r="M27" i="1"/>
  <c r="N27" i="1"/>
  <c r="O27" i="1"/>
  <c r="P27" i="1"/>
  <c r="K27" i="1"/>
  <c r="O23" i="1"/>
  <c r="P23" i="1"/>
  <c r="N23" i="1"/>
  <c r="O21" i="1"/>
  <c r="P21" i="1" s="1"/>
  <c r="N21" i="1"/>
  <c r="F43" i="1"/>
  <c r="G25" i="1"/>
  <c r="G32" i="1" s="1"/>
  <c r="G37" i="1" s="1"/>
  <c r="H25" i="1"/>
  <c r="H37" i="1" s="1"/>
  <c r="I25" i="1"/>
  <c r="I32" i="1" s="1"/>
  <c r="I37" i="1" s="1"/>
  <c r="J25" i="1"/>
  <c r="J32" i="1" s="1"/>
  <c r="J37" i="1" s="1"/>
  <c r="K25" i="1"/>
  <c r="K32" i="1" s="1"/>
  <c r="K37" i="1" s="1"/>
  <c r="L25" i="1"/>
  <c r="L32" i="1" s="1"/>
  <c r="L37" i="1" s="1"/>
  <c r="M25" i="1"/>
  <c r="M32" i="1" s="1"/>
  <c r="M37" i="1" s="1"/>
  <c r="F25" i="1"/>
  <c r="F36" i="1"/>
  <c r="F27" i="1"/>
  <c r="Q32" i="1" l="1"/>
  <c r="F32" i="3" s="1"/>
  <c r="F35" i="3" s="1"/>
  <c r="N25" i="1"/>
  <c r="N32" i="1" s="1"/>
  <c r="N37" i="1" s="1"/>
  <c r="P25" i="1" l="1"/>
  <c r="P37" i="1" s="1"/>
  <c r="O25" i="1"/>
  <c r="O32" i="1" s="1"/>
  <c r="O37" i="1" s="1"/>
  <c r="L16" i="1" l="1"/>
  <c r="H18" i="1"/>
  <c r="Q11" i="2"/>
  <c r="Q9" i="2"/>
  <c r="F24" i="3"/>
  <c r="F16" i="3"/>
  <c r="F18" i="3" s="1"/>
  <c r="F8" i="3" s="1"/>
  <c r="F10" i="3" s="1"/>
  <c r="G20" i="1"/>
  <c r="G43" i="1" s="1"/>
  <c r="E12" i="2"/>
  <c r="E11" i="2"/>
  <c r="E7" i="2"/>
  <c r="Q13" i="2"/>
  <c r="E8" i="2"/>
  <c r="E19" i="2" s="1"/>
  <c r="L17" i="1" s="1"/>
  <c r="F39" i="1" l="1"/>
  <c r="F41" i="1" s="1"/>
  <c r="F50" i="1" s="1"/>
  <c r="L39" i="1"/>
  <c r="L41" i="1" s="1"/>
  <c r="L50" i="1" s="1"/>
  <c r="M39" i="1"/>
  <c r="M41" i="1" s="1"/>
  <c r="M50" i="1" s="1"/>
  <c r="K39" i="1"/>
  <c r="K41" i="1" s="1"/>
  <c r="K50" i="1" s="1"/>
  <c r="J39" i="1"/>
  <c r="J41" i="1" s="1"/>
  <c r="J50" i="1" s="1"/>
  <c r="I39" i="1"/>
  <c r="I41" i="1" s="1"/>
  <c r="I50" i="1" s="1"/>
  <c r="H39" i="1"/>
  <c r="H41" i="1" s="1"/>
  <c r="H50" i="1" s="1"/>
  <c r="G39" i="1"/>
  <c r="G41" i="1" s="1"/>
  <c r="G50" i="1" s="1"/>
  <c r="N39" i="1"/>
  <c r="N41" i="1" s="1"/>
  <c r="N50" i="1" s="1"/>
  <c r="O39" i="1"/>
  <c r="O41" i="1" s="1"/>
  <c r="O50" i="1" s="1"/>
  <c r="P39" i="1"/>
  <c r="P41" i="1" s="1"/>
  <c r="P50" i="1" s="1"/>
  <c r="P17" i="1"/>
  <c r="H17" i="1"/>
  <c r="F25" i="3"/>
  <c r="F27" i="3" s="1"/>
  <c r="G36" i="1"/>
  <c r="G27" i="1"/>
  <c r="H20" i="1"/>
  <c r="H43" i="1" s="1"/>
  <c r="C17" i="1"/>
  <c r="P18" i="1"/>
  <c r="C18" i="1" s="1"/>
  <c r="D54" i="1" l="1"/>
  <c r="D57" i="1" s="1"/>
  <c r="H36" i="1"/>
  <c r="H27" i="1"/>
  <c r="I20" i="1"/>
  <c r="I43" i="1" s="1"/>
  <c r="D60" i="1" l="1"/>
  <c r="D63" i="1" s="1"/>
  <c r="H4" i="1" s="1"/>
  <c r="H6" i="1" s="1"/>
  <c r="I36" i="1"/>
  <c r="I27" i="1"/>
  <c r="J20" i="1"/>
  <c r="J43" i="1" l="1"/>
  <c r="K20" i="1"/>
  <c r="L20" i="1" s="1"/>
  <c r="M20" i="1" s="1"/>
  <c r="N20" i="1" s="1"/>
  <c r="O20" i="1" s="1"/>
  <c r="P20" i="1" s="1"/>
  <c r="J36" i="1"/>
  <c r="J27" i="1"/>
</calcChain>
</file>

<file path=xl/sharedStrings.xml><?xml version="1.0" encoding="utf-8"?>
<sst xmlns="http://schemas.openxmlformats.org/spreadsheetml/2006/main" count="186" uniqueCount="129">
  <si>
    <t>ASML DCF</t>
  </si>
  <si>
    <t>Notes</t>
  </si>
  <si>
    <t>*TGR Switch only works if you use the stable Company TV calc, I used the unstable for ASML here so It wont work</t>
  </si>
  <si>
    <t>Ticker</t>
  </si>
  <si>
    <t>ASML</t>
  </si>
  <si>
    <t>Implied Share Price</t>
  </si>
  <si>
    <t>*If you want to move around year, Change cell F22</t>
  </si>
  <si>
    <t>Date</t>
  </si>
  <si>
    <t>Current Share Price</t>
  </si>
  <si>
    <t>*Make sure if NWC is negative you state it as such, and if it is positive you state it as such.</t>
  </si>
  <si>
    <t>Year End</t>
  </si>
  <si>
    <t>Implied Gain/Loss</t>
  </si>
  <si>
    <t>*The reason we use unlevered FCF is because we want to evaluate cash flows without the effect of debt or equity</t>
  </si>
  <si>
    <t>*We account for the debt and equity in our calculation of Enterprise Value</t>
  </si>
  <si>
    <t>*Whole Model is in Millions</t>
  </si>
  <si>
    <t xml:space="preserve">*I just sloppily used CAGR for projections. Couldve baked in some price changes etc but I got lazy </t>
  </si>
  <si>
    <t>*You only need to use TGR for Stable Businesses, otherwise simply input TV into Cell R50</t>
  </si>
  <si>
    <t>X</t>
  </si>
  <si>
    <t>Assumptions</t>
  </si>
  <si>
    <t>REV CAGR:</t>
  </si>
  <si>
    <t>Switches</t>
  </si>
  <si>
    <t>Bear Case</t>
  </si>
  <si>
    <t>Base Case</t>
  </si>
  <si>
    <t>Bull Case</t>
  </si>
  <si>
    <t>COGS CAGR:</t>
  </si>
  <si>
    <t>WACC</t>
  </si>
  <si>
    <t xml:space="preserve">* you may see some loose percentages, they are just my lazy growth rates </t>
  </si>
  <si>
    <t>TGR</t>
  </si>
  <si>
    <t>Taxes</t>
  </si>
  <si>
    <t>*Hard input TGR Only</t>
  </si>
  <si>
    <t>Income Statement FYE</t>
  </si>
  <si>
    <t>TV Year</t>
  </si>
  <si>
    <t>Revenue</t>
  </si>
  <si>
    <t>COGS</t>
  </si>
  <si>
    <t>Gross Profit</t>
  </si>
  <si>
    <t>OpEx</t>
  </si>
  <si>
    <t>SG&amp;A</t>
  </si>
  <si>
    <t>Other Exp</t>
  </si>
  <si>
    <t>*Other exp just baked into SG&amp;A in ASML reporting</t>
  </si>
  <si>
    <t>EBITDA</t>
  </si>
  <si>
    <t>^If need, project Terminal EBITDA here</t>
  </si>
  <si>
    <t>D&amp;A</t>
  </si>
  <si>
    <t>OpInc</t>
  </si>
  <si>
    <t>EBIT (A.K.A OpInc)</t>
  </si>
  <si>
    <t>EBIAT (A.K.A NOPAT)</t>
  </si>
  <si>
    <t>CF Stmnt Adjmnts down to FCF</t>
  </si>
  <si>
    <t xml:space="preserve"> Add back D&amp;A</t>
  </si>
  <si>
    <t>CapEx</t>
  </si>
  <si>
    <t>Change in NWC</t>
  </si>
  <si>
    <t>Unlevered FCF</t>
  </si>
  <si>
    <t>^^TV in above cell</t>
  </si>
  <si>
    <t>Calculating Enterprise Value</t>
  </si>
  <si>
    <t>Equity Value</t>
  </si>
  <si>
    <t>Debt Value</t>
  </si>
  <si>
    <t>Cash</t>
  </si>
  <si>
    <t>ENTP Val</t>
  </si>
  <si>
    <t>Calculating Implied Share Price if Wanted</t>
  </si>
  <si>
    <t>Diluted Shares</t>
  </si>
  <si>
    <t>* Notice that Cost of Equity is more variable than Cost of debt, think about it, cost of debt is fixed to coupons whereas cost of equity updates with Beta updates</t>
  </si>
  <si>
    <t>*Cost of Equity tailors a risk premium of the company, resulting in return expected by shareholders for risk they take on</t>
  </si>
  <si>
    <t>*Market Premium = The S&amp;P 30 year risk in relation to lowest possible risk at RFR</t>
  </si>
  <si>
    <t>*COE= RFR+B(MRP)</t>
  </si>
  <si>
    <t>*MRP=Market Rate of Return-RFR</t>
  </si>
  <si>
    <t>*Reason Being: if Market cap exceeds EV, normalizing is needed</t>
  </si>
  <si>
    <t>Cost of Equity</t>
  </si>
  <si>
    <t>Equity and Debt Weight Normalization</t>
  </si>
  <si>
    <t>Equity</t>
  </si>
  <si>
    <t xml:space="preserve"> **Usually for tech companies</t>
  </si>
  <si>
    <t>% of Equity</t>
  </si>
  <si>
    <t>RFR</t>
  </si>
  <si>
    <t>Equity Market cap</t>
  </si>
  <si>
    <t>Beta</t>
  </si>
  <si>
    <t>Debt Market cap</t>
  </si>
  <si>
    <t>Market Premium</t>
  </si>
  <si>
    <t>Total</t>
  </si>
  <si>
    <t>Debt</t>
  </si>
  <si>
    <t>% of Debt</t>
  </si>
  <si>
    <t>Normalized % of Equity</t>
  </si>
  <si>
    <t>Cost of Debt</t>
  </si>
  <si>
    <t>Normalized % of Debt</t>
  </si>
  <si>
    <t>Tax Rate</t>
  </si>
  <si>
    <t>Enterprise Value</t>
  </si>
  <si>
    <t>*Amount of Bonds varies on sample size</t>
  </si>
  <si>
    <t>*Recommended sample size is &gt;5,  Larger = More accurate</t>
  </si>
  <si>
    <t>Unlevered Beta</t>
  </si>
  <si>
    <t>Bond 1 %Coupon Yield</t>
  </si>
  <si>
    <t>Levered Beta</t>
  </si>
  <si>
    <t>Change Beta here</t>
  </si>
  <si>
    <t>Bond 2  %Coupon Yield</t>
  </si>
  <si>
    <t>Bond 3  %Coupon Yield</t>
  </si>
  <si>
    <t>Bond 4  %Coupon Yield</t>
  </si>
  <si>
    <t>Bond 5  %Coupon Yield</t>
  </si>
  <si>
    <t>Bond 6  %Coupon Yield</t>
  </si>
  <si>
    <t>Works For Stable Businesses</t>
  </si>
  <si>
    <t>*2-4% is the usual range, although 2-4% is the usual range</t>
  </si>
  <si>
    <t>x</t>
  </si>
  <si>
    <t>TGR Calculation for Stable Comps</t>
  </si>
  <si>
    <t>*Use your own judgement within reason, Valuations are an ART, NOT A SCIENCE.</t>
  </si>
  <si>
    <t>*Remember to cite your source and have an explanation for all used numbers, they do vary</t>
  </si>
  <si>
    <t>Country of Origin GDP GR</t>
  </si>
  <si>
    <t>*Remember this is highly subjective, very dependent on stage of company growth</t>
  </si>
  <si>
    <t>Deviation</t>
  </si>
  <si>
    <t>*Startups or tech companies will have a higher rate than a lawn mower company</t>
  </si>
  <si>
    <t>*IF THESE METHODS DO NOT WORK FOR YOUR COMPANY, INQUIRE WITH A FACULTY AND FIGURE OUT AN ALTERNATIVE SOLUTION</t>
  </si>
  <si>
    <t>*Company GR is referring to their FCF Growth rate</t>
  </si>
  <si>
    <t>*GDP GR can be looked up</t>
  </si>
  <si>
    <t>*Terminal Multiple = Avg Ev/Ebitda over the projection period</t>
  </si>
  <si>
    <t>Deviation Formula</t>
  </si>
  <si>
    <t>*Note that Companies that have either negative FCF or are early in their life cycle are classified as "Unstable" in this model</t>
  </si>
  <si>
    <t>*Note that Companies that are mature or have positive FCF are classified as "Stable" in this model</t>
  </si>
  <si>
    <t>Company GR</t>
  </si>
  <si>
    <t>*Terminal Year EBITDA = the EBITDA of the year after your last FCF, Remember Terminal implies after projection period.</t>
  </si>
  <si>
    <t>*Yes, you will need to project this EBITDA value</t>
  </si>
  <si>
    <t>Terminal Value for Stable Comps</t>
  </si>
  <si>
    <t>FCF last projection year</t>
  </si>
  <si>
    <t>Terminal Value</t>
  </si>
  <si>
    <t>Works For Unstable Businesses</t>
  </si>
  <si>
    <t>Terminal Value for Unstable Comps</t>
  </si>
  <si>
    <t>EBITDA in Terminal year</t>
  </si>
  <si>
    <t>Terminal Multiple</t>
  </si>
  <si>
    <t>Multiple Calculation</t>
  </si>
  <si>
    <t>Ev/EBITDA YR 1</t>
  </si>
  <si>
    <t>Ev/EBITDA YR 2</t>
  </si>
  <si>
    <t>Ev/EBITDA YR 3</t>
  </si>
  <si>
    <t>Ev/EBITDA YR 4</t>
  </si>
  <si>
    <t>Ev/EBITDA YR 5</t>
  </si>
  <si>
    <t>AVG Multiple</t>
  </si>
  <si>
    <t>*This model is specified to the needs of ASML, please make your own changes accordingly</t>
  </si>
  <si>
    <t>*If any questions arise, feel free to contact: Drolwand1@luc.edu with any questions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</si>
</sst>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1">
    <numFmt numFmtId="6" formatCode="&quot;$&quot;#,##0_);[Red]\(&quot;$&quot;#,##0\)"/>
    <numFmt numFmtId="44" formatCode="_(&quot;$&quot;* #,##0.00_);_(&quot;$&quot;* \(#,##0.00\);_(&quot;$&quot;* &quot;-&quot;??_);_(@_)"/>
    <numFmt numFmtId="164" formatCode="0.0000%"/>
    <numFmt numFmtId="165" formatCode="0.000000000000000%"/>
    <numFmt numFmtId="166" formatCode="0.0000000000000000%"/>
    <numFmt numFmtId="167" formatCode="0.00000000000000000%"/>
    <numFmt numFmtId="168" formatCode="0&quot;E&quot;"/>
    <numFmt numFmtId="169" formatCode="&quot;$&quot;#,##0.00"/>
    <numFmt numFmtId="170" formatCode="0.0%"/>
    <numFmt numFmtId="171" formatCode="&quot;$&quot;#,##0"/>
    <numFmt numFmtId="172" formatCode="_(&quot;$&quot;* #,##0_);_(&quot;$&quot;* \(#,##0\);_(&quot;$&quot;* &quot;-&quot;??_);_(@_)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u/>
      <sz val="12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8"/>
      <color theme="1"/>
      <name val="Ibm plex sans"/>
    </font>
    <font>
      <b/>
      <sz val="16"/>
      <color theme="0"/>
      <name val="IBM Plex Sans"/>
      <family val="2"/>
    </font>
    <font>
      <sz val="12"/>
      <color theme="1"/>
      <name val="Aptos Narrow"/>
      <family val="2"/>
      <scheme val="minor"/>
    </font>
    <font>
      <sz val="14"/>
      <color theme="0"/>
      <name val="IBM Plex Sans"/>
      <family val="2"/>
    </font>
    <font>
      <b/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7">
    <xf numFmtId="0" fontId="0" fillId="0" borderId="0" xfId="0"/>
    <xf numFmtId="0" fontId="0" fillId="0" borderId="0" xfId="0" applyAlignment="1">
      <alignment horizontal="centerContinuous"/>
    </xf>
    <xf numFmtId="0" fontId="0" fillId="0" borderId="1" xfId="0" applyBorder="1"/>
    <xf numFmtId="0" fontId="0" fillId="2" borderId="2" xfId="0" applyFill="1" applyBorder="1"/>
    <xf numFmtId="14" fontId="0" fillId="2" borderId="2" xfId="0" applyNumberFormat="1" applyFill="1" applyBorder="1"/>
    <xf numFmtId="44" fontId="0" fillId="2" borderId="2" xfId="1" applyFont="1" applyFill="1" applyBorder="1"/>
    <xf numFmtId="0" fontId="3" fillId="0" borderId="0" xfId="0" applyFont="1"/>
    <xf numFmtId="0" fontId="0" fillId="3" borderId="0" xfId="0" applyFill="1"/>
    <xf numFmtId="0" fontId="4" fillId="3" borderId="0" xfId="0" applyFont="1" applyFill="1"/>
    <xf numFmtId="0" fontId="5" fillId="0" borderId="1" xfId="0" applyFont="1" applyBorder="1"/>
    <xf numFmtId="0" fontId="2" fillId="0" borderId="3" xfId="0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4" fillId="3" borderId="7" xfId="0" applyFont="1" applyFill="1" applyBorder="1"/>
    <xf numFmtId="0" fontId="0" fillId="3" borderId="8" xfId="0" applyFill="1" applyBorder="1"/>
    <xf numFmtId="0" fontId="0" fillId="3" borderId="9" xfId="0" applyFill="1" applyBorder="1"/>
    <xf numFmtId="10" fontId="0" fillId="2" borderId="2" xfId="0" applyNumberFormat="1" applyFill="1" applyBorder="1"/>
    <xf numFmtId="164" fontId="0" fillId="4" borderId="2" xfId="0" applyNumberFormat="1" applyFill="1" applyBorder="1"/>
    <xf numFmtId="0" fontId="0" fillId="0" borderId="10" xfId="0" applyBorder="1"/>
    <xf numFmtId="0" fontId="4" fillId="3" borderId="3" xfId="0" applyFont="1" applyFill="1" applyBorder="1"/>
    <xf numFmtId="0" fontId="0" fillId="3" borderId="5" xfId="0" applyFill="1" applyBorder="1"/>
    <xf numFmtId="0" fontId="4" fillId="3" borderId="8" xfId="0" applyFont="1" applyFill="1" applyBorder="1"/>
    <xf numFmtId="0" fontId="0" fillId="0" borderId="7" xfId="0" applyBorder="1"/>
    <xf numFmtId="44" fontId="0" fillId="2" borderId="2" xfId="0" applyNumberFormat="1" applyFill="1" applyBorder="1"/>
    <xf numFmtId="10" fontId="0" fillId="4" borderId="2" xfId="2" applyNumberFormat="1" applyFont="1" applyFill="1" applyBorder="1"/>
    <xf numFmtId="10" fontId="0" fillId="4" borderId="2" xfId="0" applyNumberFormat="1" applyFill="1" applyBorder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0" fontId="6" fillId="3" borderId="2" xfId="2" applyNumberFormat="1" applyFont="1" applyFill="1" applyBorder="1"/>
    <xf numFmtId="10" fontId="0" fillId="2" borderId="2" xfId="2" applyNumberFormat="1" applyFont="1" applyFill="1" applyBorder="1"/>
    <xf numFmtId="0" fontId="7" fillId="0" borderId="0" xfId="0" applyFont="1"/>
    <xf numFmtId="10" fontId="8" fillId="3" borderId="2" xfId="2" applyNumberFormat="1" applyFont="1" applyFill="1" applyBorder="1"/>
    <xf numFmtId="0" fontId="0" fillId="0" borderId="0" xfId="0" applyAlignment="1">
      <alignment horizontal="center" vertical="center"/>
    </xf>
    <xf numFmtId="168" fontId="4" fillId="3" borderId="0" xfId="0" applyNumberFormat="1" applyFont="1" applyFill="1"/>
    <xf numFmtId="0" fontId="10" fillId="0" borderId="0" xfId="0" applyFont="1"/>
    <xf numFmtId="0" fontId="0" fillId="0" borderId="0" xfId="0" applyAlignment="1">
      <alignment horizontal="center"/>
    </xf>
    <xf numFmtId="169" fontId="8" fillId="3" borderId="2" xfId="2" applyNumberFormat="1" applyFont="1" applyFill="1" applyBorder="1"/>
    <xf numFmtId="10" fontId="0" fillId="0" borderId="2" xfId="0" applyNumberFormat="1" applyBorder="1"/>
    <xf numFmtId="44" fontId="0" fillId="0" borderId="2" xfId="0" applyNumberFormat="1" applyBorder="1"/>
    <xf numFmtId="2" fontId="0" fillId="0" borderId="2" xfId="2" applyNumberFormat="1" applyFont="1" applyFill="1" applyBorder="1"/>
    <xf numFmtId="164" fontId="0" fillId="0" borderId="2" xfId="0" applyNumberFormat="1" applyBorder="1"/>
    <xf numFmtId="164" fontId="0" fillId="0" borderId="6" xfId="0" applyNumberFormat="1" applyBorder="1"/>
    <xf numFmtId="10" fontId="0" fillId="0" borderId="2" xfId="2" applyNumberFormat="1" applyFont="1" applyFill="1" applyBorder="1"/>
    <xf numFmtId="10" fontId="0" fillId="0" borderId="5" xfId="2" applyNumberFormat="1" applyFont="1" applyFill="1" applyBorder="1"/>
    <xf numFmtId="0" fontId="0" fillId="0" borderId="8" xfId="0" applyBorder="1"/>
    <xf numFmtId="0" fontId="0" fillId="0" borderId="2" xfId="0" applyBorder="1"/>
    <xf numFmtId="0" fontId="9" fillId="0" borderId="0" xfId="0" applyFont="1"/>
    <xf numFmtId="10" fontId="0" fillId="0" borderId="0" xfId="2" applyNumberFormat="1" applyFont="1"/>
    <xf numFmtId="171" fontId="0" fillId="0" borderId="0" xfId="0" applyNumberFormat="1"/>
    <xf numFmtId="171" fontId="0" fillId="0" borderId="1" xfId="0" applyNumberFormat="1" applyBorder="1"/>
    <xf numFmtId="44" fontId="0" fillId="0" borderId="0" xfId="1" applyFont="1"/>
    <xf numFmtId="172" fontId="0" fillId="0" borderId="0" xfId="1" applyNumberFormat="1" applyFont="1"/>
    <xf numFmtId="172" fontId="0" fillId="0" borderId="8" xfId="1" applyNumberFormat="1" applyFont="1" applyBorder="1"/>
    <xf numFmtId="10" fontId="0" fillId="0" borderId="8" xfId="2" applyNumberFormat="1" applyFont="1" applyBorder="1"/>
    <xf numFmtId="172" fontId="0" fillId="0" borderId="2" xfId="0" applyNumberFormat="1" applyBorder="1"/>
    <xf numFmtId="169" fontId="0" fillId="4" borderId="2" xfId="2" applyNumberFormat="1" applyFont="1" applyFill="1" applyBorder="1"/>
    <xf numFmtId="2" fontId="0" fillId="0" borderId="2" xfId="1" applyNumberFormat="1" applyFont="1" applyFill="1" applyBorder="1"/>
    <xf numFmtId="2" fontId="0" fillId="0" borderId="6" xfId="1" applyNumberFormat="1" applyFont="1" applyFill="1" applyBorder="1"/>
    <xf numFmtId="2" fontId="0" fillId="0" borderId="2" xfId="0" applyNumberFormat="1" applyBorder="1"/>
    <xf numFmtId="2" fontId="0" fillId="4" borderId="2" xfId="2" applyNumberFormat="1" applyFont="1" applyFill="1" applyBorder="1"/>
    <xf numFmtId="44" fontId="0" fillId="0" borderId="2" xfId="1" applyFont="1" applyBorder="1"/>
    <xf numFmtId="172" fontId="0" fillId="0" borderId="2" xfId="1" applyNumberFormat="1" applyFont="1" applyBorder="1"/>
    <xf numFmtId="170" fontId="0" fillId="2" borderId="2" xfId="2" applyNumberFormat="1" applyFont="1" applyFill="1" applyBorder="1"/>
    <xf numFmtId="6" fontId="0" fillId="0" borderId="2" xfId="0" applyNumberFormat="1" applyBorder="1"/>
    <xf numFmtId="44" fontId="0" fillId="0" borderId="2" xfId="1" applyFont="1" applyFill="1" applyBorder="1"/>
  </cellXfs>
  <cellStyles count="3">
    <cellStyle name="Currency" xfId="1" builtinId="4"/>
    <cellStyle name="Normal" xfId="0" builtinId="0"/>
    <cellStyle name="Percent" xfId="2" builtinId="5"/>
  </cellStyles>
  <dxfs count="0"/>
  <tableStyles count="1" defaultTableStyle="TableStyleMedium2" defaultPivotStyle="PivotStyleLight16">
    <tableStyle name="Invisible" pivot="0" table="0" count="0" xr9:uid="{59CE6B78-9A61-4EF3-8F9D-5A209294925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5F49C-7C11-491F-8D09-49ACE24026EE}">
  <dimension ref="A1:AD63"/>
  <sheetViews>
    <sheetView showGridLines="0" zoomScale="75" zoomScaleNormal="190" workbookViewId="0">
      <selection activeCell="AD11" sqref="AD11"/>
    </sheetView>
  </sheetViews>
  <sheetFormatPr defaultColWidth="8.875" defaultRowHeight="14.25" outlineLevelRow="1" x14ac:dyDescent="0.2"/>
  <cols>
    <col min="1" max="1" width="3" customWidth="1"/>
    <col min="3" max="3" width="10.5" bestFit="1" customWidth="1"/>
    <col min="4" max="4" width="14.125" bestFit="1" customWidth="1"/>
    <col min="6" max="7" width="11.5" bestFit="1" customWidth="1"/>
    <col min="8" max="8" width="12.5" bestFit="1" customWidth="1"/>
    <col min="9" max="10" width="11.5" bestFit="1" customWidth="1"/>
    <col min="11" max="16" width="12.5" bestFit="1" customWidth="1"/>
    <col min="17" max="17" width="14.875" bestFit="1" customWidth="1"/>
    <col min="29" max="29" width="9.5" bestFit="1" customWidth="1"/>
  </cols>
  <sheetData>
    <row r="1" spans="1:30" ht="23.25" x14ac:dyDescent="0.35">
      <c r="A1" s="9" t="s">
        <v>0</v>
      </c>
      <c r="B1" s="2"/>
      <c r="C1" s="2"/>
      <c r="F1" t="s">
        <v>127</v>
      </c>
    </row>
    <row r="2" spans="1:30" x14ac:dyDescent="0.2">
      <c r="A2" s="1"/>
      <c r="F2" t="s">
        <v>128</v>
      </c>
      <c r="M2" t="s">
        <v>1</v>
      </c>
    </row>
    <row r="3" spans="1:30" x14ac:dyDescent="0.2">
      <c r="M3" t="s">
        <v>2</v>
      </c>
    </row>
    <row r="4" spans="1:30" x14ac:dyDescent="0.2">
      <c r="B4" t="s">
        <v>3</v>
      </c>
      <c r="C4" s="3" t="s">
        <v>4</v>
      </c>
      <c r="E4" t="s">
        <v>5</v>
      </c>
      <c r="H4" s="24">
        <f>D63</f>
        <v>976.72267951862182</v>
      </c>
      <c r="M4" t="s">
        <v>6</v>
      </c>
    </row>
    <row r="5" spans="1:30" x14ac:dyDescent="0.2">
      <c r="B5" t="s">
        <v>7</v>
      </c>
      <c r="C5" s="4">
        <v>45511</v>
      </c>
      <c r="E5" t="s">
        <v>8</v>
      </c>
      <c r="H5" s="5">
        <v>843.01</v>
      </c>
      <c r="M5" t="s">
        <v>9</v>
      </c>
    </row>
    <row r="6" spans="1:30" x14ac:dyDescent="0.2">
      <c r="B6" t="s">
        <v>10</v>
      </c>
      <c r="C6" s="4">
        <v>45657</v>
      </c>
      <c r="E6" t="s">
        <v>11</v>
      </c>
      <c r="H6" s="64">
        <f>(H4/H5)-1</f>
        <v>0.15861339666032648</v>
      </c>
      <c r="M6" t="s">
        <v>12</v>
      </c>
    </row>
    <row r="7" spans="1:30" x14ac:dyDescent="0.2">
      <c r="M7" t="s">
        <v>13</v>
      </c>
    </row>
    <row r="8" spans="1:30" x14ac:dyDescent="0.2">
      <c r="M8" t="s">
        <v>14</v>
      </c>
      <c r="AA8" t="s">
        <v>15</v>
      </c>
    </row>
    <row r="9" spans="1:30" ht="15" x14ac:dyDescent="0.25">
      <c r="M9" s="48" t="s">
        <v>16</v>
      </c>
    </row>
    <row r="10" spans="1:30" ht="18" x14ac:dyDescent="0.25">
      <c r="A10" s="34" t="s">
        <v>17</v>
      </c>
      <c r="B10" s="8" t="s">
        <v>18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AC10" t="s">
        <v>19</v>
      </c>
      <c r="AD10" s="49">
        <f>((M21/K21)^(1/3))-1</f>
        <v>0.1448483674703871</v>
      </c>
    </row>
    <row r="11" spans="1:30" ht="15.75" x14ac:dyDescent="0.25">
      <c r="B11" s="6" t="s">
        <v>20</v>
      </c>
      <c r="F11" s="6" t="s">
        <v>21</v>
      </c>
      <c r="J11" s="6" t="s">
        <v>22</v>
      </c>
      <c r="K11" s="6"/>
      <c r="N11" s="6" t="s">
        <v>23</v>
      </c>
      <c r="O11" s="6"/>
      <c r="AC11" t="s">
        <v>24</v>
      </c>
      <c r="AD11" s="49">
        <f>((M23/K23)^(1/3))-1</f>
        <v>0.11479331666289028</v>
      </c>
    </row>
    <row r="13" spans="1:30" x14ac:dyDescent="0.2">
      <c r="B13" t="s">
        <v>25</v>
      </c>
      <c r="C13" s="3">
        <v>2</v>
      </c>
      <c r="S13" t="s">
        <v>26</v>
      </c>
    </row>
    <row r="14" spans="1:30" x14ac:dyDescent="0.2">
      <c r="B14" t="s">
        <v>27</v>
      </c>
      <c r="C14" s="3">
        <v>3</v>
      </c>
    </row>
    <row r="16" spans="1:30" x14ac:dyDescent="0.2">
      <c r="J16" t="s">
        <v>28</v>
      </c>
      <c r="L16" s="17">
        <f>WACC!E14</f>
        <v>0.15809999999999999</v>
      </c>
    </row>
    <row r="17" spans="1:23" x14ac:dyDescent="0.2">
      <c r="B17" t="s">
        <v>25</v>
      </c>
      <c r="C17" s="17">
        <f>CHOOSE($C$13,H17,L17,P17)</f>
        <v>0.1114013082050261</v>
      </c>
      <c r="F17" t="s">
        <v>25</v>
      </c>
      <c r="H17" s="31">
        <f>L17+0.5%</f>
        <v>0.1164013082050261</v>
      </c>
      <c r="J17" t="s">
        <v>25</v>
      </c>
      <c r="L17" s="17">
        <f>WACC!E19</f>
        <v>0.1114013082050261</v>
      </c>
      <c r="N17" t="s">
        <v>25</v>
      </c>
      <c r="P17" s="31">
        <f>L17-0.5%</f>
        <v>0.10640130820502609</v>
      </c>
    </row>
    <row r="18" spans="1:23" x14ac:dyDescent="0.2">
      <c r="B18" t="s">
        <v>27</v>
      </c>
      <c r="C18" s="31">
        <f>CHOOSE($C$14,H18,L18,P18)</f>
        <v>4.0000000000000001E-3</v>
      </c>
      <c r="F18" t="s">
        <v>27</v>
      </c>
      <c r="H18" s="31">
        <f>L18-0.4%</f>
        <v>-4.0000000000000001E-3</v>
      </c>
      <c r="J18" t="s">
        <v>27</v>
      </c>
      <c r="L18" s="17"/>
      <c r="N18" t="s">
        <v>27</v>
      </c>
      <c r="P18" s="31">
        <f>L18+0.4%</f>
        <v>4.0000000000000001E-3</v>
      </c>
    </row>
    <row r="19" spans="1:23" x14ac:dyDescent="0.2">
      <c r="L19" t="s">
        <v>29</v>
      </c>
    </row>
    <row r="20" spans="1:23" ht="18" x14ac:dyDescent="0.25">
      <c r="A20" s="34" t="s">
        <v>17</v>
      </c>
      <c r="B20" s="8" t="s">
        <v>30</v>
      </c>
      <c r="C20" s="7"/>
      <c r="D20" s="7"/>
      <c r="E20" s="8"/>
      <c r="F20" s="8">
        <v>2019</v>
      </c>
      <c r="G20" s="8">
        <f>F20+1</f>
        <v>2020</v>
      </c>
      <c r="H20" s="8">
        <f t="shared" ref="H20:K20" si="0">G20+1</f>
        <v>2021</v>
      </c>
      <c r="I20" s="8">
        <f t="shared" si="0"/>
        <v>2022</v>
      </c>
      <c r="J20" s="8">
        <f t="shared" si="0"/>
        <v>2023</v>
      </c>
      <c r="K20" s="35">
        <f t="shared" si="0"/>
        <v>2024</v>
      </c>
      <c r="L20" s="35">
        <f t="shared" ref="L20" si="1">K20+1</f>
        <v>2025</v>
      </c>
      <c r="M20" s="35">
        <f t="shared" ref="M20" si="2">L20+1</f>
        <v>2026</v>
      </c>
      <c r="N20" s="35">
        <f t="shared" ref="N20" si="3">M20+1</f>
        <v>2027</v>
      </c>
      <c r="O20" s="35">
        <f t="shared" ref="O20" si="4">N20+1</f>
        <v>2028</v>
      </c>
      <c r="P20" s="35">
        <f t="shared" ref="P20" si="5">O20+1</f>
        <v>2029</v>
      </c>
      <c r="Q20" s="8" t="s">
        <v>31</v>
      </c>
      <c r="R20" s="7"/>
      <c r="S20" s="7"/>
      <c r="T20" s="7"/>
      <c r="U20" s="7"/>
      <c r="V20" s="7"/>
      <c r="W20" s="7"/>
    </row>
    <row r="21" spans="1:23" x14ac:dyDescent="0.2">
      <c r="A21" s="34" t="s">
        <v>17</v>
      </c>
      <c r="B21" t="s">
        <v>32</v>
      </c>
      <c r="F21" s="50">
        <v>13229</v>
      </c>
      <c r="G21" s="50">
        <v>15931</v>
      </c>
      <c r="H21" s="50">
        <v>22005</v>
      </c>
      <c r="I21" s="50">
        <v>22265</v>
      </c>
      <c r="J21" s="50">
        <v>29792</v>
      </c>
      <c r="K21" s="50">
        <v>30342</v>
      </c>
      <c r="L21" s="50">
        <v>40940</v>
      </c>
      <c r="M21" s="50">
        <v>45529</v>
      </c>
      <c r="N21" s="50">
        <f>M21*($AD$10+1)</f>
        <v>52123.801322559251</v>
      </c>
      <c r="O21" s="50">
        <f t="shared" ref="O21:P21" si="6">N21*($AD$10+1)</f>
        <v>59673.848850482762</v>
      </c>
      <c r="P21" s="50">
        <f t="shared" si="6"/>
        <v>68317.508437149823</v>
      </c>
    </row>
    <row r="22" spans="1:23" x14ac:dyDescent="0.2"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</row>
    <row r="23" spans="1:23" x14ac:dyDescent="0.2">
      <c r="A23" s="34" t="s">
        <v>17</v>
      </c>
      <c r="B23" t="s">
        <v>33</v>
      </c>
      <c r="F23" s="50">
        <v>5233</v>
      </c>
      <c r="G23" s="50">
        <v>5891</v>
      </c>
      <c r="H23" s="50">
        <v>7665</v>
      </c>
      <c r="I23" s="50">
        <v>11013</v>
      </c>
      <c r="J23" s="50">
        <v>14510</v>
      </c>
      <c r="K23" s="50">
        <v>14724</v>
      </c>
      <c r="L23" s="50">
        <v>18704</v>
      </c>
      <c r="M23" s="50">
        <v>20399</v>
      </c>
      <c r="N23" s="50">
        <f>M23*($AD$11+1)</f>
        <v>22740.668866606298</v>
      </c>
      <c r="O23" s="50">
        <f t="shared" ref="O23:P23" si="7">N23*($AD$11+1)</f>
        <v>25351.145668936566</v>
      </c>
      <c r="P23" s="50">
        <f t="shared" si="7"/>
        <v>28261.287761477859</v>
      </c>
    </row>
    <row r="24" spans="1:23" x14ac:dyDescent="0.2">
      <c r="B24" s="2"/>
      <c r="C24" s="2"/>
      <c r="D24" s="2"/>
      <c r="E24" s="2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2"/>
      <c r="R24" s="2"/>
      <c r="S24" s="2"/>
      <c r="T24" s="2"/>
      <c r="U24" s="2"/>
      <c r="V24" s="2"/>
      <c r="W24" s="2"/>
    </row>
    <row r="25" spans="1:23" x14ac:dyDescent="0.2">
      <c r="A25" s="34" t="s">
        <v>17</v>
      </c>
      <c r="B25" t="s">
        <v>34</v>
      </c>
      <c r="F25" s="50">
        <f>F21-F23</f>
        <v>7996</v>
      </c>
      <c r="G25" s="50">
        <f t="shared" ref="G25:P25" si="8">G21-G23</f>
        <v>10040</v>
      </c>
      <c r="H25" s="50">
        <f t="shared" si="8"/>
        <v>14340</v>
      </c>
      <c r="I25" s="50">
        <f t="shared" si="8"/>
        <v>11252</v>
      </c>
      <c r="J25" s="50">
        <f t="shared" si="8"/>
        <v>15282</v>
      </c>
      <c r="K25" s="50">
        <f t="shared" si="8"/>
        <v>15618</v>
      </c>
      <c r="L25" s="50">
        <f t="shared" si="8"/>
        <v>22236</v>
      </c>
      <c r="M25" s="50">
        <f t="shared" si="8"/>
        <v>25130</v>
      </c>
      <c r="N25" s="50">
        <f t="shared" si="8"/>
        <v>29383.132455952953</v>
      </c>
      <c r="O25" s="50">
        <f t="shared" si="8"/>
        <v>34322.703181546196</v>
      </c>
      <c r="P25" s="50">
        <f t="shared" si="8"/>
        <v>40056.220675671968</v>
      </c>
    </row>
    <row r="26" spans="1:23" x14ac:dyDescent="0.2">
      <c r="A26" s="34"/>
    </row>
    <row r="27" spans="1:23" ht="18" x14ac:dyDescent="0.25">
      <c r="A27" s="34" t="s">
        <v>17</v>
      </c>
      <c r="B27" s="8" t="s">
        <v>35</v>
      </c>
      <c r="C27" s="8"/>
      <c r="D27" s="8"/>
      <c r="E27" s="8"/>
      <c r="F27" s="8">
        <f>F$20</f>
        <v>2019</v>
      </c>
      <c r="G27" s="8">
        <f t="shared" ref="G27:J27" si="9">G$20</f>
        <v>2020</v>
      </c>
      <c r="H27" s="8">
        <f t="shared" si="9"/>
        <v>2021</v>
      </c>
      <c r="I27" s="8">
        <f t="shared" si="9"/>
        <v>2022</v>
      </c>
      <c r="J27" s="8">
        <f t="shared" si="9"/>
        <v>2023</v>
      </c>
      <c r="K27" s="35">
        <f>K$20</f>
        <v>2024</v>
      </c>
      <c r="L27" s="35">
        <f t="shared" ref="L27:P27" si="10">L$20</f>
        <v>2025</v>
      </c>
      <c r="M27" s="35">
        <f t="shared" si="10"/>
        <v>2026</v>
      </c>
      <c r="N27" s="35">
        <f t="shared" si="10"/>
        <v>2027</v>
      </c>
      <c r="O27" s="35">
        <f t="shared" si="10"/>
        <v>2028</v>
      </c>
      <c r="P27" s="35">
        <f t="shared" si="10"/>
        <v>2029</v>
      </c>
      <c r="Q27" s="8" t="s">
        <v>31</v>
      </c>
      <c r="R27" s="8"/>
      <c r="S27" s="8"/>
      <c r="T27" s="8"/>
      <c r="U27" s="8"/>
      <c r="V27" s="8"/>
      <c r="W27" s="8"/>
    </row>
    <row r="28" spans="1:23" outlineLevel="1" x14ac:dyDescent="0.2">
      <c r="A28" s="34" t="s">
        <v>17</v>
      </c>
      <c r="B28" t="s">
        <v>36</v>
      </c>
      <c r="F28" s="53">
        <v>2785</v>
      </c>
      <c r="G28" s="53">
        <v>3129</v>
      </c>
      <c r="H28" s="53">
        <v>3869</v>
      </c>
      <c r="I28" s="53">
        <v>4415</v>
      </c>
      <c r="J28" s="53">
        <v>5506</v>
      </c>
      <c r="K28" s="53">
        <v>5589</v>
      </c>
      <c r="L28" s="53">
        <v>6522</v>
      </c>
      <c r="M28" s="53">
        <v>6593</v>
      </c>
      <c r="N28" s="53">
        <f>M28*(1+$R$28)</f>
        <v>6966.2554813547804</v>
      </c>
      <c r="O28" s="53">
        <f t="shared" ref="O28:P28" si="11">N28*(1+$R$28)</f>
        <v>7360.6424133938308</v>
      </c>
      <c r="P28" s="53">
        <f t="shared" si="11"/>
        <v>7777.3571300769381</v>
      </c>
      <c r="R28" s="49">
        <f>((M28/K28)^(1/3))-1</f>
        <v>5.66139058630033E-2</v>
      </c>
    </row>
    <row r="29" spans="1:23" outlineLevel="1" x14ac:dyDescent="0.2"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</row>
    <row r="30" spans="1:23" outlineLevel="1" x14ac:dyDescent="0.2">
      <c r="A30" s="34" t="s">
        <v>17</v>
      </c>
      <c r="B30" t="s">
        <v>37</v>
      </c>
      <c r="F30" s="53">
        <v>0</v>
      </c>
      <c r="G30" s="53">
        <v>0</v>
      </c>
      <c r="H30" s="53">
        <v>0</v>
      </c>
      <c r="I30" s="53">
        <v>0</v>
      </c>
      <c r="J30" s="53">
        <v>0</v>
      </c>
      <c r="K30" s="53">
        <v>0</v>
      </c>
      <c r="L30" s="53">
        <v>0</v>
      </c>
      <c r="M30" s="53">
        <v>0</v>
      </c>
      <c r="N30" s="53">
        <v>0</v>
      </c>
      <c r="O30" s="53">
        <v>0</v>
      </c>
      <c r="P30" s="53">
        <v>0</v>
      </c>
      <c r="S30" t="s">
        <v>38</v>
      </c>
    </row>
    <row r="31" spans="1:23" x14ac:dyDescent="0.2"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</row>
    <row r="32" spans="1:23" x14ac:dyDescent="0.2">
      <c r="A32" s="34" t="s">
        <v>17</v>
      </c>
      <c r="B32" s="46" t="s">
        <v>39</v>
      </c>
      <c r="C32" s="46"/>
      <c r="D32" s="46"/>
      <c r="E32" s="46"/>
      <c r="F32" s="54">
        <f>F25-F28-F30</f>
        <v>5211</v>
      </c>
      <c r="G32" s="54">
        <f t="shared" ref="G32:O32" si="12">G25-G28-G30</f>
        <v>6911</v>
      </c>
      <c r="H32" s="54">
        <f t="shared" si="12"/>
        <v>10471</v>
      </c>
      <c r="I32" s="54">
        <f t="shared" si="12"/>
        <v>6837</v>
      </c>
      <c r="J32" s="54">
        <f t="shared" si="12"/>
        <v>9776</v>
      </c>
      <c r="K32" s="54">
        <f t="shared" si="12"/>
        <v>10029</v>
      </c>
      <c r="L32" s="54">
        <f t="shared" si="12"/>
        <v>15714</v>
      </c>
      <c r="M32" s="54">
        <f t="shared" si="12"/>
        <v>18537</v>
      </c>
      <c r="N32" s="54">
        <f t="shared" si="12"/>
        <v>22416.876974598174</v>
      </c>
      <c r="O32" s="54">
        <f t="shared" si="12"/>
        <v>26962.060768152365</v>
      </c>
      <c r="P32" s="54">
        <f>P25-P28-P30</f>
        <v>32278.863545595028</v>
      </c>
      <c r="Q32" s="56">
        <f>P32*(1+R32)</f>
        <v>39221.873687003586</v>
      </c>
      <c r="R32" s="55">
        <f>((P32/K32)^(1/6))-1</f>
        <v>0.21509462783909084</v>
      </c>
      <c r="S32" s="46"/>
      <c r="T32" s="46"/>
      <c r="U32" s="46"/>
      <c r="V32" s="46"/>
      <c r="W32" s="46"/>
    </row>
    <row r="33" spans="1:23" x14ac:dyDescent="0.2">
      <c r="Q33" t="s">
        <v>40</v>
      </c>
    </row>
    <row r="34" spans="1:23" x14ac:dyDescent="0.2">
      <c r="A34" s="34" t="s">
        <v>17</v>
      </c>
      <c r="B34" t="s">
        <v>41</v>
      </c>
      <c r="F34" s="52">
        <v>-164</v>
      </c>
      <c r="G34" s="53">
        <v>-159.78</v>
      </c>
      <c r="H34" s="53">
        <v>-162.94</v>
      </c>
      <c r="I34" s="52">
        <v>610</v>
      </c>
      <c r="J34" s="52">
        <v>792</v>
      </c>
      <c r="K34" s="52">
        <v>977</v>
      </c>
      <c r="L34" s="52">
        <v>1136</v>
      </c>
      <c r="M34" s="52">
        <v>1424</v>
      </c>
      <c r="N34" s="52">
        <f>M34*(1+$R$34)</f>
        <v>1614.5387189996004</v>
      </c>
      <c r="O34" s="52">
        <f t="shared" ref="O34:P34" si="13">N34*(1+$R$34)</f>
        <v>1830.5725246831955</v>
      </c>
      <c r="P34" s="52">
        <f t="shared" si="13"/>
        <v>2075.5127942681675</v>
      </c>
      <c r="R34" s="49">
        <f>((M34/K34)^(1/3))-1</f>
        <v>0.13380528019634852</v>
      </c>
    </row>
    <row r="36" spans="1:23" ht="18" x14ac:dyDescent="0.25">
      <c r="A36" s="34" t="s">
        <v>17</v>
      </c>
      <c r="B36" s="8" t="s">
        <v>42</v>
      </c>
      <c r="C36" s="8"/>
      <c r="D36" s="8"/>
      <c r="E36" s="8"/>
      <c r="F36" s="8">
        <f>F$20</f>
        <v>2019</v>
      </c>
      <c r="G36" s="8">
        <f t="shared" ref="G36:J36" si="14">G$20</f>
        <v>2020</v>
      </c>
      <c r="H36" s="8">
        <f t="shared" si="14"/>
        <v>2021</v>
      </c>
      <c r="I36" s="8">
        <f t="shared" si="14"/>
        <v>2022</v>
      </c>
      <c r="J36" s="8">
        <f t="shared" si="14"/>
        <v>2023</v>
      </c>
      <c r="K36" s="35">
        <f>K$20</f>
        <v>2024</v>
      </c>
      <c r="L36" s="35">
        <f t="shared" ref="L36:P36" si="15">L$20</f>
        <v>2025</v>
      </c>
      <c r="M36" s="35">
        <f t="shared" si="15"/>
        <v>2026</v>
      </c>
      <c r="N36" s="35">
        <f t="shared" si="15"/>
        <v>2027</v>
      </c>
      <c r="O36" s="35">
        <f t="shared" si="15"/>
        <v>2028</v>
      </c>
      <c r="P36" s="35">
        <f t="shared" si="15"/>
        <v>2029</v>
      </c>
      <c r="Q36" s="8" t="s">
        <v>31</v>
      </c>
      <c r="R36" s="8"/>
      <c r="S36" s="8"/>
      <c r="T36" s="8"/>
      <c r="U36" s="8"/>
      <c r="V36" s="8"/>
      <c r="W36" s="8"/>
    </row>
    <row r="37" spans="1:23" x14ac:dyDescent="0.2">
      <c r="A37" s="34" t="s">
        <v>17</v>
      </c>
      <c r="B37" t="s">
        <v>43</v>
      </c>
      <c r="F37" s="53">
        <f>F32-F34</f>
        <v>5375</v>
      </c>
      <c r="G37" s="53">
        <f t="shared" ref="G37:P37" si="16">G32-G34</f>
        <v>7070.78</v>
      </c>
      <c r="H37" s="53">
        <f t="shared" si="16"/>
        <v>10633.94</v>
      </c>
      <c r="I37" s="53">
        <f t="shared" si="16"/>
        <v>6227</v>
      </c>
      <c r="J37" s="53">
        <f t="shared" si="16"/>
        <v>8984</v>
      </c>
      <c r="K37" s="53">
        <f t="shared" si="16"/>
        <v>9052</v>
      </c>
      <c r="L37" s="53">
        <f t="shared" si="16"/>
        <v>14578</v>
      </c>
      <c r="M37" s="53">
        <f t="shared" si="16"/>
        <v>17113</v>
      </c>
      <c r="N37" s="53">
        <f t="shared" si="16"/>
        <v>20802.338255598574</v>
      </c>
      <c r="O37" s="53">
        <f t="shared" si="16"/>
        <v>25131.488243469168</v>
      </c>
      <c r="P37" s="53">
        <f t="shared" si="16"/>
        <v>30203.35075132686</v>
      </c>
    </row>
    <row r="38" spans="1:23" x14ac:dyDescent="0.2"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</row>
    <row r="39" spans="1:23" x14ac:dyDescent="0.2">
      <c r="A39" s="34" t="s">
        <v>17</v>
      </c>
      <c r="B39" t="s">
        <v>28</v>
      </c>
      <c r="F39" s="53">
        <f>F37*$L$16</f>
        <v>849.78749999999991</v>
      </c>
      <c r="G39" s="53">
        <f t="shared" ref="G39:P39" si="17">G37*$L$16</f>
        <v>1117.890318</v>
      </c>
      <c r="H39" s="53">
        <f t="shared" si="17"/>
        <v>1681.2259139999999</v>
      </c>
      <c r="I39" s="53">
        <f t="shared" si="17"/>
        <v>984.48869999999999</v>
      </c>
      <c r="J39" s="53">
        <f t="shared" si="17"/>
        <v>1420.3704</v>
      </c>
      <c r="K39" s="53">
        <f t="shared" si="17"/>
        <v>1431.1211999999998</v>
      </c>
      <c r="L39" s="53">
        <f t="shared" si="17"/>
        <v>2304.7817999999997</v>
      </c>
      <c r="M39" s="53">
        <f t="shared" si="17"/>
        <v>2705.5652999999998</v>
      </c>
      <c r="N39" s="53">
        <f t="shared" si="17"/>
        <v>3288.8496782101342</v>
      </c>
      <c r="O39" s="53">
        <f t="shared" si="17"/>
        <v>3973.2882912924752</v>
      </c>
      <c r="P39" s="53">
        <f t="shared" si="17"/>
        <v>4775.1497537847763</v>
      </c>
    </row>
    <row r="40" spans="1:23" x14ac:dyDescent="0.2"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</row>
    <row r="41" spans="1:23" x14ac:dyDescent="0.2">
      <c r="A41" s="34" t="s">
        <v>17</v>
      </c>
      <c r="B41" s="46" t="s">
        <v>44</v>
      </c>
      <c r="C41" s="46"/>
      <c r="D41" s="46"/>
      <c r="E41" s="46"/>
      <c r="F41" s="54">
        <f>F37-F39</f>
        <v>4525.2124999999996</v>
      </c>
      <c r="G41" s="54">
        <f t="shared" ref="G41:P41" si="18">G37-G39</f>
        <v>5952.889682</v>
      </c>
      <c r="H41" s="54">
        <f t="shared" si="18"/>
        <v>8952.714086</v>
      </c>
      <c r="I41" s="54">
        <f t="shared" si="18"/>
        <v>5242.5113000000001</v>
      </c>
      <c r="J41" s="54">
        <f t="shared" si="18"/>
        <v>7563.6296000000002</v>
      </c>
      <c r="K41" s="54">
        <f t="shared" si="18"/>
        <v>7620.8788000000004</v>
      </c>
      <c r="L41" s="54">
        <f t="shared" si="18"/>
        <v>12273.218199999999</v>
      </c>
      <c r="M41" s="54">
        <f t="shared" si="18"/>
        <v>14407.4347</v>
      </c>
      <c r="N41" s="54">
        <f t="shared" si="18"/>
        <v>17513.488577388438</v>
      </c>
      <c r="O41" s="54">
        <f t="shared" si="18"/>
        <v>21158.199952176692</v>
      </c>
      <c r="P41" s="54">
        <f t="shared" si="18"/>
        <v>25428.200997542084</v>
      </c>
      <c r="Q41" s="46"/>
      <c r="R41" s="46"/>
      <c r="S41" s="46"/>
      <c r="T41" s="46"/>
      <c r="U41" s="46"/>
      <c r="V41" s="46"/>
      <c r="W41" s="46"/>
    </row>
    <row r="43" spans="1:23" ht="18" x14ac:dyDescent="0.25">
      <c r="A43" s="34" t="s">
        <v>17</v>
      </c>
      <c r="B43" s="8" t="s">
        <v>45</v>
      </c>
      <c r="C43" s="8"/>
      <c r="D43" s="8"/>
      <c r="E43" s="8"/>
      <c r="F43" s="8">
        <f>F$20</f>
        <v>2019</v>
      </c>
      <c r="G43" s="8">
        <f t="shared" ref="G43:J43" si="19">G$20</f>
        <v>2020</v>
      </c>
      <c r="H43" s="8">
        <f t="shared" si="19"/>
        <v>2021</v>
      </c>
      <c r="I43" s="8">
        <f t="shared" si="19"/>
        <v>2022</v>
      </c>
      <c r="J43" s="8">
        <f t="shared" si="19"/>
        <v>2023</v>
      </c>
      <c r="K43" s="35">
        <f>K$20</f>
        <v>2024</v>
      </c>
      <c r="L43" s="35">
        <f t="shared" ref="L43:P43" si="20">L$20</f>
        <v>2025</v>
      </c>
      <c r="M43" s="35">
        <f t="shared" si="20"/>
        <v>2026</v>
      </c>
      <c r="N43" s="35">
        <f t="shared" si="20"/>
        <v>2027</v>
      </c>
      <c r="O43" s="35">
        <f t="shared" si="20"/>
        <v>2028</v>
      </c>
      <c r="P43" s="35">
        <f t="shared" si="20"/>
        <v>2029</v>
      </c>
      <c r="Q43" s="8" t="s">
        <v>31</v>
      </c>
      <c r="R43" s="8"/>
      <c r="S43" s="8"/>
      <c r="T43" s="8"/>
      <c r="U43" s="8"/>
      <c r="V43" s="8"/>
      <c r="W43" s="8"/>
    </row>
    <row r="44" spans="1:23" x14ac:dyDescent="0.2">
      <c r="A44" s="34" t="s">
        <v>17</v>
      </c>
      <c r="B44" t="s">
        <v>46</v>
      </c>
      <c r="F44" s="52">
        <f>F34</f>
        <v>-164</v>
      </c>
      <c r="G44" s="52">
        <f t="shared" ref="G44:J44" si="21">G34</f>
        <v>-159.78</v>
      </c>
      <c r="H44" s="52">
        <f t="shared" si="21"/>
        <v>-162.94</v>
      </c>
      <c r="I44" s="52">
        <f t="shared" si="21"/>
        <v>610</v>
      </c>
      <c r="J44" s="52">
        <f t="shared" si="21"/>
        <v>792</v>
      </c>
      <c r="K44" s="52">
        <f t="shared" ref="K44:P44" si="22">K34</f>
        <v>977</v>
      </c>
      <c r="L44" s="52">
        <f t="shared" si="22"/>
        <v>1136</v>
      </c>
      <c r="M44" s="52">
        <f t="shared" si="22"/>
        <v>1424</v>
      </c>
      <c r="N44" s="52">
        <f t="shared" si="22"/>
        <v>1614.5387189996004</v>
      </c>
      <c r="O44" s="52">
        <f t="shared" si="22"/>
        <v>1830.5725246831955</v>
      </c>
      <c r="P44" s="52">
        <f t="shared" si="22"/>
        <v>2075.5127942681675</v>
      </c>
    </row>
    <row r="45" spans="1:23" x14ac:dyDescent="0.2"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</row>
    <row r="46" spans="1:23" x14ac:dyDescent="0.2">
      <c r="A46" s="34" t="s">
        <v>17</v>
      </c>
      <c r="B46" t="s">
        <v>47</v>
      </c>
      <c r="F46" s="52">
        <v>992</v>
      </c>
      <c r="G46" s="52">
        <v>1140</v>
      </c>
      <c r="H46" s="52">
        <v>1112</v>
      </c>
      <c r="I46" s="52">
        <v>1387</v>
      </c>
      <c r="J46" s="52">
        <v>2374</v>
      </c>
      <c r="K46" s="52">
        <v>2110</v>
      </c>
      <c r="L46" s="52">
        <v>2232</v>
      </c>
      <c r="M46" s="52">
        <v>2338</v>
      </c>
      <c r="N46" s="52">
        <f>M46*(1+$Q$46)</f>
        <v>2419.3490141667203</v>
      </c>
      <c r="O46" s="52">
        <f t="shared" ref="O46:P46" si="23">N46*(1+$Q$46)</f>
        <v>2503.5285082760829</v>
      </c>
      <c r="P46" s="52">
        <f t="shared" si="23"/>
        <v>2590.6369668246452</v>
      </c>
      <c r="Q46" s="49">
        <f>((M46/K46)^(1/3))-1</f>
        <v>3.4794274664978753E-2</v>
      </c>
    </row>
    <row r="47" spans="1:23" x14ac:dyDescent="0.2"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</row>
    <row r="48" spans="1:23" x14ac:dyDescent="0.2">
      <c r="A48" s="34" t="s">
        <v>17</v>
      </c>
      <c r="B48" t="s">
        <v>48</v>
      </c>
      <c r="F48" s="52">
        <v>125</v>
      </c>
      <c r="G48" s="52">
        <v>606</v>
      </c>
      <c r="H48" s="52">
        <v>5785</v>
      </c>
      <c r="I48" s="52">
        <v>2567</v>
      </c>
      <c r="J48" s="52">
        <v>-3961</v>
      </c>
      <c r="K48" s="52">
        <v>703</v>
      </c>
      <c r="L48" s="52">
        <v>388</v>
      </c>
      <c r="M48" s="52">
        <v>1327</v>
      </c>
      <c r="N48" s="52">
        <f>M48*(1+$Q$48)</f>
        <v>1639.9960000795545</v>
      </c>
      <c r="O48" s="52">
        <f t="shared" ref="O48:P48" si="24">N48*(1+$Q$48)</f>
        <v>2026.8175435395165</v>
      </c>
      <c r="P48" s="52">
        <f t="shared" si="24"/>
        <v>2504.8776671408255</v>
      </c>
      <c r="Q48" s="49">
        <f>((M48/K48)^(1/3))-1</f>
        <v>0.23586737006748648</v>
      </c>
    </row>
    <row r="50" spans="1:23" x14ac:dyDescent="0.2">
      <c r="A50" s="34" t="s">
        <v>17</v>
      </c>
      <c r="B50" s="46" t="s">
        <v>49</v>
      </c>
      <c r="C50" s="46"/>
      <c r="D50" s="46"/>
      <c r="E50" s="46"/>
      <c r="F50" s="54">
        <f>F41+F44-F46+F48</f>
        <v>3494.2124999999996</v>
      </c>
      <c r="G50" s="54">
        <f t="shared" ref="G50:P50" si="25">G41+G44-G46+G48</f>
        <v>5259.1096820000002</v>
      </c>
      <c r="H50" s="54">
        <f t="shared" si="25"/>
        <v>13462.774085999999</v>
      </c>
      <c r="I50" s="54">
        <f t="shared" si="25"/>
        <v>7032.5113000000001</v>
      </c>
      <c r="J50" s="54">
        <f>J41+J44-J46+J48</f>
        <v>2020.6296000000002</v>
      </c>
      <c r="K50" s="54">
        <f t="shared" si="25"/>
        <v>7190.8788000000004</v>
      </c>
      <c r="L50" s="54">
        <f t="shared" si="25"/>
        <v>11565.218199999999</v>
      </c>
      <c r="M50" s="54">
        <f t="shared" si="25"/>
        <v>14820.4347</v>
      </c>
      <c r="N50" s="54">
        <f t="shared" si="25"/>
        <v>18348.674282300872</v>
      </c>
      <c r="O50" s="54">
        <f t="shared" si="25"/>
        <v>22512.061512123324</v>
      </c>
      <c r="P50" s="54">
        <f t="shared" si="25"/>
        <v>27417.954492126435</v>
      </c>
      <c r="Q50" s="63">
        <f>'TGR and TV'!F35</f>
        <v>1146220.0366289928</v>
      </c>
      <c r="R50" s="46"/>
      <c r="S50" s="46"/>
      <c r="T50" s="46"/>
      <c r="U50" s="46"/>
      <c r="V50" s="46"/>
      <c r="W50" s="46"/>
    </row>
    <row r="51" spans="1:23" x14ac:dyDescent="0.2">
      <c r="Q51" t="s">
        <v>50</v>
      </c>
    </row>
    <row r="53" spans="1:23" ht="18" x14ac:dyDescent="0.25">
      <c r="A53" s="34" t="s">
        <v>17</v>
      </c>
      <c r="B53" s="8" t="s">
        <v>51</v>
      </c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</row>
    <row r="54" spans="1:23" x14ac:dyDescent="0.2">
      <c r="B54" t="s">
        <v>52</v>
      </c>
      <c r="D54" s="65">
        <f>NPV(C17,F50,G50,H50,I50,J50,K50,L50,M50,N50,O50,P50,Q50)</f>
        <v>384926.40799828887</v>
      </c>
    </row>
    <row r="55" spans="1:23" x14ac:dyDescent="0.2">
      <c r="B55" t="s">
        <v>53</v>
      </c>
      <c r="D55" s="56">
        <f>WACC!Q8</f>
        <v>4612</v>
      </c>
    </row>
    <row r="56" spans="1:23" x14ac:dyDescent="0.2">
      <c r="B56" t="s">
        <v>54</v>
      </c>
      <c r="D56" s="63">
        <v>7730</v>
      </c>
    </row>
    <row r="57" spans="1:23" x14ac:dyDescent="0.2">
      <c r="B57" t="s">
        <v>55</v>
      </c>
      <c r="D57" s="65">
        <f>D54+D55-D56</f>
        <v>381808.40799828887</v>
      </c>
    </row>
    <row r="59" spans="1:23" ht="18" x14ac:dyDescent="0.25">
      <c r="A59" s="34" t="s">
        <v>17</v>
      </c>
      <c r="B59" s="8" t="s">
        <v>56</v>
      </c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</row>
    <row r="60" spans="1:23" x14ac:dyDescent="0.2">
      <c r="B60" t="s">
        <v>52</v>
      </c>
      <c r="D60" s="63">
        <f>D54</f>
        <v>384926.40799828887</v>
      </c>
    </row>
    <row r="61" spans="1:23" x14ac:dyDescent="0.2">
      <c r="B61" t="s">
        <v>57</v>
      </c>
      <c r="D61" s="47">
        <v>394.1</v>
      </c>
    </row>
    <row r="63" spans="1:23" x14ac:dyDescent="0.2">
      <c r="B63" t="s">
        <v>5</v>
      </c>
      <c r="D63" s="62">
        <f>D60/D61</f>
        <v>976.72267951862182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7B5C4-3EC7-4122-BD3F-5971F37E6CB1}">
  <dimension ref="A1:R28"/>
  <sheetViews>
    <sheetView showGridLines="0" tabSelected="1" zoomScale="88" workbookViewId="0">
      <selection activeCell="G38" sqref="G38"/>
    </sheetView>
  </sheetViews>
  <sheetFormatPr defaultColWidth="8.875" defaultRowHeight="14.25" x14ac:dyDescent="0.2"/>
  <cols>
    <col min="5" max="5" width="23" bestFit="1" customWidth="1"/>
    <col min="11" max="11" width="9.5" bestFit="1" customWidth="1"/>
    <col min="14" max="14" width="9.875" bestFit="1" customWidth="1"/>
    <col min="17" max="17" width="13.125" bestFit="1" customWidth="1"/>
    <col min="21" max="21" width="8.375" customWidth="1"/>
  </cols>
  <sheetData>
    <row r="1" spans="1:17" ht="23.25" x14ac:dyDescent="0.35">
      <c r="A1" s="9" t="s">
        <v>0</v>
      </c>
      <c r="B1" s="2"/>
      <c r="H1" t="s">
        <v>58</v>
      </c>
    </row>
    <row r="2" spans="1:17" x14ac:dyDescent="0.2">
      <c r="H2" t="s">
        <v>59</v>
      </c>
    </row>
    <row r="3" spans="1:17" x14ac:dyDescent="0.2">
      <c r="H3" t="s">
        <v>60</v>
      </c>
    </row>
    <row r="4" spans="1:17" x14ac:dyDescent="0.2">
      <c r="H4" t="s">
        <v>61</v>
      </c>
      <c r="J4" t="s">
        <v>62</v>
      </c>
      <c r="N4" t="s">
        <v>63</v>
      </c>
    </row>
    <row r="5" spans="1:17" ht="18" x14ac:dyDescent="0.25">
      <c r="B5" s="14" t="s">
        <v>25</v>
      </c>
      <c r="C5" s="15"/>
      <c r="D5" s="15"/>
      <c r="E5" s="16"/>
      <c r="H5" s="14" t="s">
        <v>64</v>
      </c>
      <c r="I5" s="15"/>
      <c r="J5" s="15"/>
      <c r="K5" s="16"/>
      <c r="N5" s="22" t="s">
        <v>65</v>
      </c>
      <c r="O5" s="15"/>
      <c r="P5" s="15"/>
      <c r="Q5" s="16"/>
    </row>
    <row r="6" spans="1:17" ht="18" x14ac:dyDescent="0.25">
      <c r="B6" s="10" t="s">
        <v>66</v>
      </c>
      <c r="E6" s="13"/>
      <c r="H6" s="11"/>
      <c r="K6" s="13"/>
      <c r="N6" s="20" t="s">
        <v>67</v>
      </c>
      <c r="O6" s="7"/>
      <c r="P6" s="7"/>
      <c r="Q6" s="21"/>
    </row>
    <row r="7" spans="1:17" x14ac:dyDescent="0.2">
      <c r="B7" s="11" t="s">
        <v>68</v>
      </c>
      <c r="E7" s="26">
        <f>Q11</f>
        <v>0.98713043388966393</v>
      </c>
      <c r="H7" s="11" t="s">
        <v>69</v>
      </c>
      <c r="K7" s="39">
        <v>4.4999999999999998E-2</v>
      </c>
      <c r="N7" s="11" t="s">
        <v>70</v>
      </c>
      <c r="Q7" s="40">
        <v>353752.84</v>
      </c>
    </row>
    <row r="8" spans="1:17" x14ac:dyDescent="0.2">
      <c r="B8" s="11" t="s">
        <v>64</v>
      </c>
      <c r="E8" s="18">
        <f>K11</f>
        <v>0.1125</v>
      </c>
      <c r="H8" s="11" t="s">
        <v>71</v>
      </c>
      <c r="K8" s="41">
        <f>Q24*(1+(1-E14)*(Q8/Q7))</f>
        <v>1.5</v>
      </c>
      <c r="N8" s="12" t="s">
        <v>72</v>
      </c>
      <c r="O8" s="2"/>
      <c r="Q8" s="40">
        <v>4612</v>
      </c>
    </row>
    <row r="9" spans="1:17" x14ac:dyDescent="0.2">
      <c r="B9" s="11"/>
      <c r="E9" s="13"/>
      <c r="H9" s="11" t="s">
        <v>73</v>
      </c>
      <c r="K9" s="39">
        <v>4.4999999999999998E-2</v>
      </c>
      <c r="N9" s="23" t="s">
        <v>74</v>
      </c>
      <c r="Q9" s="40">
        <f>Q7+Q8</f>
        <v>358364.84</v>
      </c>
    </row>
    <row r="10" spans="1:17" ht="18" x14ac:dyDescent="0.25">
      <c r="B10" s="10" t="s">
        <v>75</v>
      </c>
      <c r="E10" s="13"/>
      <c r="H10" s="11"/>
      <c r="K10" s="19"/>
      <c r="N10" s="11"/>
      <c r="Q10" s="13"/>
    </row>
    <row r="11" spans="1:17" ht="14.45" customHeight="1" x14ac:dyDescent="0.2">
      <c r="B11" s="11" t="s">
        <v>76</v>
      </c>
      <c r="E11" s="26">
        <f>Q13</f>
        <v>1.2869566110336047E-2</v>
      </c>
      <c r="H11" s="12" t="s">
        <v>64</v>
      </c>
      <c r="I11" s="2"/>
      <c r="J11" s="2"/>
      <c r="K11" s="42">
        <f>K7+(K8*K9)</f>
        <v>0.1125</v>
      </c>
      <c r="N11" s="11" t="s">
        <v>77</v>
      </c>
      <c r="Q11" s="44">
        <f>Q7/Q9</f>
        <v>0.98713043388966393</v>
      </c>
    </row>
    <row r="12" spans="1:17" x14ac:dyDescent="0.2">
      <c r="B12" s="11" t="s">
        <v>78</v>
      </c>
      <c r="E12" s="18">
        <f>K27</f>
        <v>3.2223166666666671E-2</v>
      </c>
      <c r="N12" s="11"/>
      <c r="Q12" s="45"/>
    </row>
    <row r="13" spans="1:17" x14ac:dyDescent="0.2">
      <c r="B13" s="11"/>
      <c r="E13" s="13"/>
      <c r="N13" s="12" t="s">
        <v>79</v>
      </c>
      <c r="O13" s="2"/>
      <c r="P13" s="2"/>
      <c r="Q13" s="44">
        <f>Q8/Q9</f>
        <v>1.2869566110336047E-2</v>
      </c>
    </row>
    <row r="14" spans="1:17" x14ac:dyDescent="0.2">
      <c r="B14" s="11" t="s">
        <v>80</v>
      </c>
      <c r="E14" s="39">
        <v>0.15809999999999999</v>
      </c>
    </row>
    <row r="15" spans="1:17" x14ac:dyDescent="0.2">
      <c r="B15" s="11"/>
      <c r="E15" s="13"/>
    </row>
    <row r="16" spans="1:17" ht="18.75" customHeight="1" x14ac:dyDescent="0.2">
      <c r="B16" s="11" t="s">
        <v>81</v>
      </c>
      <c r="E16" s="40">
        <f>Q9</f>
        <v>358364.84</v>
      </c>
      <c r="H16" t="s">
        <v>82</v>
      </c>
    </row>
    <row r="17" spans="2:18" x14ac:dyDescent="0.2">
      <c r="B17" s="11"/>
      <c r="E17" s="13"/>
      <c r="H17" t="s">
        <v>83</v>
      </c>
    </row>
    <row r="18" spans="2:18" ht="18" x14ac:dyDescent="0.25">
      <c r="B18" s="11"/>
      <c r="E18" s="13"/>
      <c r="H18" s="14" t="s">
        <v>78</v>
      </c>
      <c r="I18" s="15"/>
      <c r="J18" s="15"/>
      <c r="K18" s="16"/>
      <c r="N18" s="14" t="s">
        <v>84</v>
      </c>
      <c r="O18" s="15"/>
      <c r="P18" s="15"/>
      <c r="Q18" s="16"/>
    </row>
    <row r="19" spans="2:18" ht="20.25" x14ac:dyDescent="0.3">
      <c r="B19" s="12" t="s">
        <v>25</v>
      </c>
      <c r="C19" s="2"/>
      <c r="D19" s="2"/>
      <c r="E19" s="30">
        <f>(E7*E8)+(E11*E12*(1-E14))</f>
        <v>0.1114013082050261</v>
      </c>
      <c r="H19" s="11"/>
      <c r="K19" s="13"/>
      <c r="N19" s="11"/>
      <c r="Q19" s="13"/>
    </row>
    <row r="20" spans="2:18" x14ac:dyDescent="0.2">
      <c r="H20" s="11" t="s">
        <v>85</v>
      </c>
      <c r="K20" s="42">
        <v>3.5231999999999999E-2</v>
      </c>
      <c r="N20" s="11" t="s">
        <v>86</v>
      </c>
      <c r="Q20" s="60">
        <v>1.5</v>
      </c>
      <c r="R20" t="s">
        <v>87</v>
      </c>
    </row>
    <row r="21" spans="2:18" x14ac:dyDescent="0.2">
      <c r="H21" s="11" t="s">
        <v>88</v>
      </c>
      <c r="K21" s="42">
        <v>3.3104000000000001E-2</v>
      </c>
      <c r="N21" s="11" t="s">
        <v>75</v>
      </c>
      <c r="Q21" s="66">
        <f>Q8</f>
        <v>4612</v>
      </c>
    </row>
    <row r="22" spans="2:18" x14ac:dyDescent="0.2">
      <c r="H22" s="11" t="s">
        <v>89</v>
      </c>
      <c r="K22" s="42">
        <v>3.2421999999999999E-2</v>
      </c>
      <c r="N22" s="11" t="s">
        <v>66</v>
      </c>
      <c r="Q22" s="40">
        <f>Q7</f>
        <v>353752.84</v>
      </c>
    </row>
    <row r="23" spans="2:18" x14ac:dyDescent="0.2">
      <c r="H23" s="11" t="s">
        <v>90</v>
      </c>
      <c r="K23" s="42">
        <v>3.0634000000000002E-2</v>
      </c>
      <c r="N23" s="11"/>
      <c r="Q23" s="19"/>
    </row>
    <row r="24" spans="2:18" x14ac:dyDescent="0.2">
      <c r="E24" s="27"/>
      <c r="H24" s="11" t="s">
        <v>91</v>
      </c>
      <c r="K24" s="43">
        <v>3.1598000000000001E-2</v>
      </c>
      <c r="N24" s="12" t="s">
        <v>84</v>
      </c>
      <c r="O24" s="2"/>
      <c r="P24" s="2"/>
      <c r="Q24" s="60">
        <f>(Q20)/(1+(1-E14)*(Q21/Q22))</f>
        <v>1.4837145327490795</v>
      </c>
    </row>
    <row r="25" spans="2:18" x14ac:dyDescent="0.2">
      <c r="E25" s="28"/>
      <c r="H25" s="11" t="s">
        <v>92</v>
      </c>
      <c r="K25" s="42">
        <v>3.0349000000000001E-2</v>
      </c>
    </row>
    <row r="26" spans="2:18" x14ac:dyDescent="0.2">
      <c r="H26" s="11"/>
      <c r="K26" s="13"/>
    </row>
    <row r="27" spans="2:18" x14ac:dyDescent="0.2">
      <c r="E27" s="27"/>
      <c r="H27" s="12" t="s">
        <v>78</v>
      </c>
      <c r="I27" s="2"/>
      <c r="J27" s="2"/>
      <c r="K27" s="42">
        <f>AVERAGE(K20:K25)</f>
        <v>3.2223166666666671E-2</v>
      </c>
    </row>
    <row r="28" spans="2:18" x14ac:dyDescent="0.2">
      <c r="E28" s="29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4CB15-DA1F-4C7D-8D95-30BCBA706F3D}">
  <dimension ref="A1:K46"/>
  <sheetViews>
    <sheetView showGridLines="0" workbookViewId="0">
      <selection activeCell="F8" sqref="F8"/>
    </sheetView>
  </sheetViews>
  <sheetFormatPr defaultColWidth="8.875" defaultRowHeight="14.25" outlineLevelRow="1" x14ac:dyDescent="0.2"/>
  <cols>
    <col min="1" max="1" width="1.625" customWidth="1"/>
    <col min="5" max="5" width="8.875" bestFit="1" customWidth="1"/>
    <col min="6" max="6" width="19" bestFit="1" customWidth="1"/>
  </cols>
  <sheetData>
    <row r="1" spans="1:11" ht="23.25" x14ac:dyDescent="0.35">
      <c r="A1" s="9" t="s">
        <v>0</v>
      </c>
      <c r="B1" s="2"/>
      <c r="C1" s="2"/>
    </row>
    <row r="3" spans="1:11" ht="15" x14ac:dyDescent="0.2">
      <c r="K3" s="32" t="s">
        <v>1</v>
      </c>
    </row>
    <row r="4" spans="1:11" ht="25.5" x14ac:dyDescent="0.35">
      <c r="A4" s="36" t="s">
        <v>93</v>
      </c>
      <c r="K4" t="s">
        <v>94</v>
      </c>
    </row>
    <row r="5" spans="1:11" ht="18" outlineLevel="1" x14ac:dyDescent="0.25">
      <c r="A5" s="37" t="s">
        <v>95</v>
      </c>
      <c r="B5" s="14" t="s">
        <v>96</v>
      </c>
      <c r="C5" s="15"/>
      <c r="D5" s="15"/>
      <c r="E5" s="15"/>
      <c r="F5" s="16"/>
      <c r="K5" t="s">
        <v>97</v>
      </c>
    </row>
    <row r="6" spans="1:11" outlineLevel="1" x14ac:dyDescent="0.2">
      <c r="B6" s="11"/>
      <c r="F6" s="13"/>
      <c r="K6" t="s">
        <v>98</v>
      </c>
    </row>
    <row r="7" spans="1:11" outlineLevel="1" x14ac:dyDescent="0.2">
      <c r="B7" s="11" t="s">
        <v>99</v>
      </c>
      <c r="F7" s="25"/>
      <c r="K7" t="s">
        <v>100</v>
      </c>
    </row>
    <row r="8" spans="1:11" outlineLevel="1" x14ac:dyDescent="0.2">
      <c r="B8" s="12" t="s">
        <v>101</v>
      </c>
      <c r="C8" s="2"/>
      <c r="D8" s="2"/>
      <c r="F8" s="25">
        <f>F18</f>
        <v>0</v>
      </c>
      <c r="K8" t="s">
        <v>102</v>
      </c>
    </row>
    <row r="9" spans="1:11" outlineLevel="1" x14ac:dyDescent="0.2">
      <c r="B9" s="11"/>
      <c r="F9" s="13"/>
      <c r="K9" t="s">
        <v>103</v>
      </c>
    </row>
    <row r="10" spans="1:11" ht="18" outlineLevel="1" x14ac:dyDescent="0.25">
      <c r="B10" s="12" t="s">
        <v>27</v>
      </c>
      <c r="C10" s="2"/>
      <c r="D10" s="2"/>
      <c r="E10" s="2"/>
      <c r="F10" s="33">
        <f>F7-F8</f>
        <v>0</v>
      </c>
      <c r="K10" t="s">
        <v>104</v>
      </c>
    </row>
    <row r="11" spans="1:11" outlineLevel="1" x14ac:dyDescent="0.2">
      <c r="K11" t="s">
        <v>105</v>
      </c>
    </row>
    <row r="12" spans="1:11" outlineLevel="1" x14ac:dyDescent="0.2">
      <c r="K12" t="s">
        <v>106</v>
      </c>
    </row>
    <row r="13" spans="1:11" ht="18" outlineLevel="1" x14ac:dyDescent="0.25">
      <c r="B13" s="14" t="s">
        <v>107</v>
      </c>
      <c r="C13" s="15"/>
      <c r="D13" s="15"/>
      <c r="E13" s="15"/>
      <c r="F13" s="16"/>
      <c r="K13" t="s">
        <v>108</v>
      </c>
    </row>
    <row r="14" spans="1:11" outlineLevel="1" x14ac:dyDescent="0.2">
      <c r="B14" s="11"/>
      <c r="F14" s="13"/>
      <c r="K14" t="s">
        <v>109</v>
      </c>
    </row>
    <row r="15" spans="1:11" outlineLevel="1" x14ac:dyDescent="0.2">
      <c r="B15" s="11" t="s">
        <v>110</v>
      </c>
      <c r="F15" s="25"/>
    </row>
    <row r="16" spans="1:11" outlineLevel="1" x14ac:dyDescent="0.2">
      <c r="B16" s="12" t="s">
        <v>99</v>
      </c>
      <c r="C16" s="2"/>
      <c r="D16" s="2"/>
      <c r="F16" s="25">
        <f>F7</f>
        <v>0</v>
      </c>
      <c r="K16" t="s">
        <v>111</v>
      </c>
    </row>
    <row r="17" spans="1:11" outlineLevel="1" x14ac:dyDescent="0.2">
      <c r="B17" s="11"/>
      <c r="F17" s="13"/>
      <c r="K17" t="s">
        <v>112</v>
      </c>
    </row>
    <row r="18" spans="1:11" ht="18" outlineLevel="1" x14ac:dyDescent="0.25">
      <c r="A18" s="37" t="s">
        <v>95</v>
      </c>
      <c r="B18" s="12" t="s">
        <v>101</v>
      </c>
      <c r="C18" s="2"/>
      <c r="D18" s="2"/>
      <c r="E18" s="2"/>
      <c r="F18" s="33">
        <f>F15-F16</f>
        <v>0</v>
      </c>
    </row>
    <row r="19" spans="1:11" outlineLevel="1" x14ac:dyDescent="0.2"/>
    <row r="20" spans="1:11" ht="25.5" outlineLevel="1" x14ac:dyDescent="0.35">
      <c r="A20" s="36"/>
    </row>
    <row r="21" spans="1:11" ht="18" outlineLevel="1" x14ac:dyDescent="0.25">
      <c r="A21" s="37" t="s">
        <v>95</v>
      </c>
      <c r="B21" s="14" t="s">
        <v>113</v>
      </c>
      <c r="C21" s="15"/>
      <c r="D21" s="15"/>
      <c r="E21" s="15"/>
      <c r="F21" s="16"/>
    </row>
    <row r="22" spans="1:11" outlineLevel="1" x14ac:dyDescent="0.2">
      <c r="B22" s="11"/>
      <c r="F22" s="13"/>
    </row>
    <row r="23" spans="1:11" outlineLevel="1" x14ac:dyDescent="0.2">
      <c r="B23" s="11" t="s">
        <v>114</v>
      </c>
      <c r="F23" s="25"/>
    </row>
    <row r="24" spans="1:11" outlineLevel="1" x14ac:dyDescent="0.2">
      <c r="B24" s="11" t="s">
        <v>27</v>
      </c>
      <c r="F24" s="25">
        <f>F10</f>
        <v>0</v>
      </c>
    </row>
    <row r="25" spans="1:11" outlineLevel="1" x14ac:dyDescent="0.2">
      <c r="B25" s="12" t="s">
        <v>25</v>
      </c>
      <c r="C25" s="2"/>
      <c r="D25" s="2"/>
      <c r="F25" s="25">
        <f>WACC!E19</f>
        <v>0.1114013082050261</v>
      </c>
    </row>
    <row r="26" spans="1:11" outlineLevel="1" x14ac:dyDescent="0.2">
      <c r="A26" s="37"/>
      <c r="B26" s="11"/>
      <c r="F26" s="13"/>
    </row>
    <row r="27" spans="1:11" ht="18" outlineLevel="1" x14ac:dyDescent="0.25">
      <c r="A27" s="37" t="s">
        <v>95</v>
      </c>
      <c r="B27" s="12" t="s">
        <v>115</v>
      </c>
      <c r="C27" s="2"/>
      <c r="D27" s="2"/>
      <c r="E27" s="2"/>
      <c r="F27" s="38">
        <f>(F23*(1+F24))/(F25-F24)</f>
        <v>0</v>
      </c>
    </row>
    <row r="29" spans="1:11" ht="25.5" x14ac:dyDescent="0.35">
      <c r="A29" s="36" t="s">
        <v>116</v>
      </c>
    </row>
    <row r="30" spans="1:11" ht="18" outlineLevel="1" x14ac:dyDescent="0.25">
      <c r="A30" s="37" t="s">
        <v>95</v>
      </c>
      <c r="B30" s="14" t="s">
        <v>117</v>
      </c>
      <c r="C30" s="15"/>
      <c r="D30" s="15"/>
      <c r="E30" s="15"/>
      <c r="F30" s="16"/>
    </row>
    <row r="31" spans="1:11" outlineLevel="1" x14ac:dyDescent="0.2">
      <c r="B31" s="11"/>
      <c r="F31" s="13"/>
    </row>
    <row r="32" spans="1:11" outlineLevel="1" x14ac:dyDescent="0.2">
      <c r="B32" s="11" t="s">
        <v>118</v>
      </c>
      <c r="F32" s="57">
        <f>DCF!Q32</f>
        <v>39221.873687003586</v>
      </c>
    </row>
    <row r="33" spans="1:6" outlineLevel="1" x14ac:dyDescent="0.2">
      <c r="B33" s="12" t="s">
        <v>119</v>
      </c>
      <c r="C33" s="2"/>
      <c r="D33" s="2"/>
      <c r="F33" s="61">
        <f>E46</f>
        <v>29.223999999999997</v>
      </c>
    </row>
    <row r="34" spans="1:6" outlineLevel="1" x14ac:dyDescent="0.2">
      <c r="B34" s="11"/>
      <c r="F34" s="13"/>
    </row>
    <row r="35" spans="1:6" ht="18" outlineLevel="1" x14ac:dyDescent="0.25">
      <c r="A35" s="37" t="s">
        <v>95</v>
      </c>
      <c r="B35" s="12" t="s">
        <v>115</v>
      </c>
      <c r="C35" s="2"/>
      <c r="D35" s="2"/>
      <c r="E35" s="2"/>
      <c r="F35" s="38">
        <f>F32*F33</f>
        <v>1146220.0366289928</v>
      </c>
    </row>
    <row r="38" spans="1:6" ht="18" x14ac:dyDescent="0.25">
      <c r="B38" s="14" t="s">
        <v>120</v>
      </c>
      <c r="C38" s="15"/>
      <c r="D38" s="15"/>
      <c r="E38" s="16"/>
    </row>
    <row r="39" spans="1:6" x14ac:dyDescent="0.2">
      <c r="B39" s="11"/>
      <c r="E39" s="13"/>
    </row>
    <row r="40" spans="1:6" x14ac:dyDescent="0.2">
      <c r="B40" s="11" t="s">
        <v>121</v>
      </c>
      <c r="E40" s="58">
        <v>23.49</v>
      </c>
    </row>
    <row r="41" spans="1:6" x14ac:dyDescent="0.2">
      <c r="B41" s="11" t="s">
        <v>122</v>
      </c>
      <c r="E41" s="58">
        <v>28.92</v>
      </c>
    </row>
    <row r="42" spans="1:6" x14ac:dyDescent="0.2">
      <c r="B42" s="11" t="s">
        <v>123</v>
      </c>
      <c r="E42" s="58">
        <v>30.28</v>
      </c>
    </row>
    <row r="43" spans="1:6" x14ac:dyDescent="0.2">
      <c r="B43" s="11" t="s">
        <v>124</v>
      </c>
      <c r="E43" s="59">
        <v>33.229999999999997</v>
      </c>
    </row>
    <row r="44" spans="1:6" x14ac:dyDescent="0.2">
      <c r="B44" s="11" t="s">
        <v>125</v>
      </c>
      <c r="E44" s="58">
        <v>30.2</v>
      </c>
    </row>
    <row r="45" spans="1:6" x14ac:dyDescent="0.2">
      <c r="B45" s="11"/>
      <c r="E45" s="13"/>
    </row>
    <row r="46" spans="1:6" x14ac:dyDescent="0.2">
      <c r="B46" s="12" t="s">
        <v>126</v>
      </c>
      <c r="C46" s="2"/>
      <c r="D46" s="2"/>
      <c r="E46" s="60">
        <f>AVERAGE(E40:E44)</f>
        <v>29.223999999999997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5080a07-e435-482e-8317-c27f53e0501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C82E57202DEFA4DA964C9F13D871078" ma:contentTypeVersion="15" ma:contentTypeDescription="Create a new document." ma:contentTypeScope="" ma:versionID="fba5e1a58e2e6fe296434320869ad2b1">
  <xsd:schema xmlns:xsd="http://www.w3.org/2001/XMLSchema" xmlns:xs="http://www.w3.org/2001/XMLSchema" xmlns:p="http://schemas.microsoft.com/office/2006/metadata/properties" xmlns:ns3="f5080a07-e435-482e-8317-c27f53e0501a" xmlns:ns4="8584dcd1-8f9b-4a7c-b9b8-7c5c23b26184" targetNamespace="http://schemas.microsoft.com/office/2006/metadata/properties" ma:root="true" ma:fieldsID="95e4aecdd9f061d544e89897bb5a3025" ns3:_="" ns4:_="">
    <xsd:import namespace="f5080a07-e435-482e-8317-c27f53e0501a"/>
    <xsd:import namespace="8584dcd1-8f9b-4a7c-b9b8-7c5c23b2618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ystemTags" minOccurs="0"/>
                <xsd:element ref="ns3:MediaServiceSearchProperties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080a07-e435-482e-8317-c27f53e050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84dcd1-8f9b-4a7c-b9b8-7c5c23b26184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828BB4B-2276-4B05-88DC-ACE1E136315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ECABEF3-A54C-4111-BD09-AB7EC6D1DDC8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purl.org/dc/dcmitype/"/>
    <ds:schemaRef ds:uri="http://purl.org/dc/terms/"/>
    <ds:schemaRef ds:uri="f5080a07-e435-482e-8317-c27f53e0501a"/>
    <ds:schemaRef ds:uri="http://schemas.microsoft.com/office/infopath/2007/PartnerControls"/>
    <ds:schemaRef ds:uri="http://schemas.openxmlformats.org/package/2006/metadata/core-properties"/>
    <ds:schemaRef ds:uri="8584dcd1-8f9b-4a7c-b9b8-7c5c23b26184"/>
  </ds:schemaRefs>
</ds:datastoreItem>
</file>

<file path=customXml/itemProps3.xml><?xml version="1.0" encoding="utf-8"?>
<ds:datastoreItem xmlns:ds="http://schemas.openxmlformats.org/officeDocument/2006/customXml" ds:itemID="{DF05D670-1325-4549-8DED-7F41A7E6F70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080a07-e435-482e-8317-c27f53e0501a"/>
    <ds:schemaRef ds:uri="8584dcd1-8f9b-4a7c-b9b8-7c5c23b2618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DCF</vt:lpstr>
      <vt:lpstr>WACC</vt:lpstr>
      <vt:lpstr>TGR and TV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Developer ✔️David Rowland</dc:creator>
  <cp:keywords/>
  <dc:description/>
  <cp:lastModifiedBy>Thompson, Brady</cp:lastModifiedBy>
  <cp:revision/>
  <dcterms:created xsi:type="dcterms:W3CDTF">2024-07-06T18:50:22Z</dcterms:created>
  <dcterms:modified xsi:type="dcterms:W3CDTF">2024-08-22T16:50:27Z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0x0101000C82E57202DEFA4DA964C9F13D871078</vt:lpwstr>
  </property>
</Properties>
</file>
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stodd\stodd\Documents\RIF\"/>
    </mc:Choice>
  </mc:AlternateContent>
  <bookViews>
    <workbookView xWindow="0" yWindow="465" windowWidth="28800" windowHeight="16665" activeTab="3"/>
  </bookViews>
  <sheets>
    <sheet name="Firm Value versus Stock Value" sheetId="4" r:id="rId1"/>
    <sheet name="Compute CAGRs" sheetId="3" r:id="rId2"/>
    <sheet name="Compute WACC or Cost of Equity " sheetId="2" r:id="rId3"/>
    <sheet name="Calculate Stock Prices" sheetId="1" r:id="rId4"/>
  </sheets>
  <functionGroups builtInGroupCount="18"/>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4" i="2" l="1"/>
  <c r="B19" i="2"/>
  <c r="B24" i="2" s="1"/>
  <c r="B6" i="3" l="1"/>
  <c r="B7" i="2"/>
  <c r="B23" i="2" s="1"/>
  <c r="B26" i="2" s="1"/>
</calcChain>
</file>

<file path=xl/sharedStrings.xml><?xml version="1.0" encoding="utf-8"?>
<sst xmlns="http://schemas.openxmlformats.org/spreadsheetml/2006/main" count="63" uniqueCount="60">
  <si>
    <t>Cost of Equity Capital</t>
  </si>
  <si>
    <t>Number of Years in Stage 1</t>
  </si>
  <si>
    <t>Stage 2 Growth Rate</t>
  </si>
  <si>
    <t>Growth Path</t>
  </si>
  <si>
    <t>Market Risk Premium</t>
  </si>
  <si>
    <t>Beta</t>
  </si>
  <si>
    <t>Compute k, cost of equity capital</t>
  </si>
  <si>
    <t>k, Cost of Equity Capital</t>
  </si>
  <si>
    <t>Risk-free rate of return</t>
  </si>
  <si>
    <t>You can look this up on Finviz, Yahoo Finance, CNBC, Google Finance, Bloomberg, etc.</t>
  </si>
  <si>
    <t>Use the YTM on a 10-year Treasury note.  You can find this on www.cnbc.com; click on the BONDS tab)</t>
  </si>
  <si>
    <t>Compute compound annual growth rates (CAGRs)</t>
  </si>
  <si>
    <t>Value</t>
  </si>
  <si>
    <t>Time or Year</t>
  </si>
  <si>
    <t>Start</t>
  </si>
  <si>
    <t>End</t>
  </si>
  <si>
    <t>Change cells colored green</t>
  </si>
  <si>
    <t>If g &gt; 10%, use a two or three stage valuation model</t>
  </si>
  <si>
    <t>CAGR (g)</t>
  </si>
  <si>
    <t>For FCF and FCFE models only:</t>
  </si>
  <si>
    <t>Number of Years in Stage 2</t>
  </si>
  <si>
    <t>Stage 3 Growth Rate</t>
  </si>
  <si>
    <t>Shares Outstanding (millions)</t>
  </si>
  <si>
    <t>FCF = Free Cash Flow.  This number can be read from the statement of cash flows available on www.finviz.com.</t>
  </si>
  <si>
    <t>FCF = Cash flow from operating acitivities (from the statement of cash flows) + interest expense (from the income statement) - tax shields on interest expense (from the income statement) - capital expenditures (from the investing activities section of the statement of cash flows).  See https://www.investopedia.com/terms/f/freecashflow.asp for more detail.</t>
  </si>
  <si>
    <t>Notes on FCF and FCFE</t>
  </si>
  <si>
    <t>FCFE = Net Income (from the income statement) - Capital Expenditures (from the investing section of the statement of cash flows) - Change in Net Working Capital (from the operating section of the statement of cash flows) + new debt issued - debt repaid (both from the financing section of the statement of cash flows).  See https://www.investopedia.com/terms/f/freecashflowtoequity.asp for more detail</t>
  </si>
  <si>
    <t>Cash can be read from the balance sheet statement available on www.finviz.com</t>
  </si>
  <si>
    <t>Using the FCF model, we can compute Enterprise Value (EV) as the sum of the discounted free cash flows</t>
  </si>
  <si>
    <t>Details</t>
  </si>
  <si>
    <t>FCFE = Free Cash flow to equity = FCF + Net new borrowing - Interest paid on debt   *   (1   -   corporate tax rate)</t>
  </si>
  <si>
    <t>With EV known, equity value can be computed as:  Equity Value = Enterprise Value   -   Total Debt (market value)   +   Cash</t>
  </si>
  <si>
    <t># of shares outstanding can be found on www.finviz.com under the summary information for a given ticker</t>
  </si>
  <si>
    <t xml:space="preserve">Weighted Average Cost of Capital (WACC) can be found on Bloomberg by typing the stock ticker [Equity] WACC   </t>
  </si>
  <si>
    <t>WACC is a weighted average of the cost of equity and the cost of debt.  The weights are based on the market caps of debt and equity.  For debt, the cost of  debt = the yield to maturity of the debt * (1 - the corporate tax rate).  If there are multiple debt sources (for example, notes and bonds with differing maturities), the individual debt components are weighted and aggregated to reflect the blended cost of debt.</t>
  </si>
  <si>
    <t>Weighted Average Cost of Capital</t>
  </si>
  <si>
    <t>Cost of Debt Capital</t>
  </si>
  <si>
    <t>Debt Item 1</t>
  </si>
  <si>
    <t>Debt Item 2</t>
  </si>
  <si>
    <t>Debt Item 3</t>
  </si>
  <si>
    <t>YTM</t>
  </si>
  <si>
    <t>Market Cap ($millions)</t>
  </si>
  <si>
    <t>Corporate Tax Rate</t>
  </si>
  <si>
    <t>Blended After Tax Cost of Debt</t>
  </si>
  <si>
    <t>Market Cap ($ millions)</t>
  </si>
  <si>
    <t>WACC</t>
  </si>
  <si>
    <t>Historical Average for the U.S. = 4.5% (geometric mean).  Varies with interest rates; higher when interest rates (inflation) are higher</t>
  </si>
  <si>
    <t>Cash + Cash Equivalents</t>
  </si>
  <si>
    <t xml:space="preserve"> Short-term debt + Current portion of long-term debt + long-term debt.  These numbers can be read from the balance sheet statement available on www.finviz.com </t>
  </si>
  <si>
    <t>Long-term debt + short-term debt</t>
  </si>
  <si>
    <t>Average</t>
  </si>
  <si>
    <t xml:space="preserve">k / terminal g  </t>
  </si>
  <si>
    <t>Net new debt ($ millions)</t>
  </si>
  <si>
    <t>Interest on debt ($ millions)</t>
  </si>
  <si>
    <t>Corporate tax rate (%)</t>
  </si>
  <si>
    <t>Dividend Discount Model</t>
  </si>
  <si>
    <t>Dividends per share, LTM</t>
  </si>
  <si>
    <t>Constant Growth Model</t>
  </si>
  <si>
    <t>Growth Rate</t>
  </si>
  <si>
    <t>Constant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</si>
</sst>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6" formatCode="&quot;$&quot;#,##0_);[Red]\(&quot;$&quot;#,##0\)"/>
    <numFmt numFmtId="164" formatCode="0.0000%"/>
    <numFmt numFmtId="165" formatCode="&quot;$&quot;#,##0.00"/>
  </numFmts>
  <fonts count="6" x14ac:knownFonts="1">
    <font>
      <sz val="11"/>
      <color theme="1"/>
      <name val="Calibri"/>
      <family val="2"/>
      <scheme val="minor"/>
    </font>
    <font>
      <b/>
      <sz val="11"/>
      <color theme="1"/>
      <name val="Calibri"/>
      <family val="2"/>
      <scheme val="minor"/>
    </font>
    <font>
      <sz val="11"/>
      <color rgb="FF000000"/>
      <name val="Calibri"/>
      <family val="2"/>
    </font>
    <font>
      <i/>
      <sz val="11"/>
      <color theme="1"/>
      <name val="Calibri"/>
      <family val="2"/>
      <scheme val="minor"/>
    </font>
    <font>
      <b/>
      <sz val="12"/>
      <color theme="1"/>
      <name val="Segoe UI"/>
      <family val="2"/>
    </font>
    <font>
      <sz val="12"/>
      <color theme="1"/>
      <name val="Segoe UI"/>
      <family val="2"/>
    </font>
  </fonts>
  <fills count="3">
    <fill>
      <patternFill patternType="none"/>
    </fill>
    <fill>
      <patternFill patternType="gray125"/>
    </fill>
    <fill>
      <patternFill patternType="solid">
        <fgColor rgb="FF92D050"/>
        <bgColor indexed="64"/>
      </patternFill>
    </fill>
  </fills>
  <borders count="1">
    <border>
      <left/>
      <right/>
      <top/>
      <bottom/>
      <diagonal/>
    </border>
  </borders>
  <cellStyleXfs count="1">
    <xf numFmtId="0" fontId="0" fillId="0" borderId="0"/>
  </cellStyleXfs>
  <cellXfs count="30">
    <xf numFmtId="0" fontId="0" fillId="0" borderId="0" xfId="0"/>
    <xf numFmtId="0" fontId="1" fillId="0" borderId="0" xfId="0" applyFont="1" applyAlignment="1">
      <alignment horizontal="center"/>
    </xf>
    <xf numFmtId="0" fontId="0" fillId="0" borderId="0" xfId="0" applyAlignment="1">
      <alignment horizontal="center"/>
    </xf>
    <xf numFmtId="10" fontId="0" fillId="0" borderId="0" xfId="0" applyNumberFormat="1" applyAlignment="1">
      <alignment horizontal="center"/>
    </xf>
    <xf numFmtId="164" fontId="0" fillId="0" borderId="0" xfId="0" applyNumberFormat="1" applyAlignment="1">
      <alignment horizontal="center"/>
    </xf>
    <xf numFmtId="0" fontId="0" fillId="0" borderId="0" xfId="0" applyAlignment="1">
      <alignment horizontal="center" wrapText="1"/>
    </xf>
    <xf numFmtId="0" fontId="1" fillId="0" borderId="0" xfId="0" applyFont="1" applyAlignment="1">
      <alignment horizontal="center" wrapText="1"/>
    </xf>
    <xf numFmtId="0" fontId="0" fillId="2" borderId="0" xfId="0" applyFill="1" applyAlignment="1">
      <alignment horizontal="center"/>
    </xf>
    <xf numFmtId="10" fontId="0" fillId="2" borderId="0" xfId="0" applyNumberFormat="1" applyFill="1" applyAlignment="1">
      <alignment horizontal="center"/>
    </xf>
    <xf numFmtId="0" fontId="3" fillId="0" borderId="0" xfId="0" applyFont="1" applyAlignment="1">
      <alignment horizontal="center" wrapText="1"/>
    </xf>
    <xf numFmtId="0" fontId="1" fillId="0" borderId="0" xfId="0" applyFont="1" applyAlignment="1">
      <alignment horizontal="center" vertical="center"/>
    </xf>
    <xf numFmtId="0" fontId="0" fillId="0" borderId="0" xfId="0"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5" fillId="0" borderId="0" xfId="0" applyFont="1" applyAlignment="1">
      <alignment horizontal="center" vertical="center"/>
    </xf>
    <xf numFmtId="6" fontId="0" fillId="0" borderId="0" xfId="0" applyNumberFormat="1" applyAlignment="1">
      <alignment horizontal="center" vertical="center"/>
    </xf>
    <xf numFmtId="10" fontId="0" fillId="0" borderId="0" xfId="0" applyNumberFormat="1" applyAlignment="1">
      <alignment horizontal="center" vertical="center"/>
    </xf>
    <xf numFmtId="164" fontId="0" fillId="0" borderId="0" xfId="0" applyNumberFormat="1" applyAlignment="1">
      <alignment horizontal="center" vertical="center"/>
    </xf>
    <xf numFmtId="10" fontId="0" fillId="2" borderId="0" xfId="0" applyNumberFormat="1" applyFill="1" applyAlignment="1">
      <alignment horizontal="center" vertical="center"/>
    </xf>
    <xf numFmtId="6" fontId="0" fillId="2" borderId="0" xfId="0" applyNumberFormat="1" applyFill="1" applyAlignment="1">
      <alignment horizontal="center" vertical="center"/>
    </xf>
    <xf numFmtId="9" fontId="0" fillId="2" borderId="0" xfId="0" applyNumberFormat="1" applyFill="1" applyAlignment="1">
      <alignment horizontal="center" vertical="center"/>
    </xf>
    <xf numFmtId="3" fontId="0" fillId="2" borderId="0" xfId="0" applyNumberFormat="1" applyFill="1" applyAlignment="1">
      <alignment horizontal="center" vertical="center"/>
    </xf>
    <xf numFmtId="165" fontId="0" fillId="0" borderId="0" xfId="0" applyNumberFormat="1" applyAlignment="1">
      <alignment horizontal="center"/>
    </xf>
    <xf numFmtId="4" fontId="0" fillId="0" borderId="0" xfId="0" applyNumberFormat="1" applyAlignment="1">
      <alignment horizontal="center"/>
    </xf>
    <xf numFmtId="10" fontId="1" fillId="0" borderId="0" xfId="0" applyNumberFormat="1" applyFont="1"/>
    <xf numFmtId="0" fontId="1" fillId="0" borderId="0" xfId="0" applyFont="1" applyAlignment="1">
      <alignment horizontal="right"/>
    </xf>
    <xf numFmtId="0" fontId="0" fillId="0" borderId="0" xfId="0" applyFont="1" applyAlignment="1">
      <alignment horizontal="center"/>
    </xf>
    <xf numFmtId="165" fontId="0" fillId="0" borderId="0" xfId="0" applyNumberFormat="1"/>
    <xf numFmtId="165" fontId="1" fillId="0" borderId="0" xfId="0" applyNumberFormat="1"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238125</xdr:colOff>
          <xdr:row>28</xdr:row>
          <xdr:rowOff>9525</xdr:rowOff>
        </xdr:from>
        <xdr:to>
          <xdr:col>0</xdr:col>
          <xdr:colOff>1781175</xdr:colOff>
          <xdr:row>32</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390525</xdr:colOff>
          <xdr:row>33</xdr:row>
          <xdr:rowOff>123825</xdr:rowOff>
        </xdr:from>
        <xdr:to>
          <xdr:col>0</xdr:col>
          <xdr:colOff>1533525</xdr:colOff>
          <xdr:row>35</xdr:row>
          <xdr:rowOff>104775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
  <sheetViews>
    <sheetView workbookViewId="0">
      <selection activeCell="B4" sqref="B4"/>
    </sheetView>
  </sheetViews>
  <sheetFormatPr defaultColWidth="8.85546875" defaultRowHeight="15" x14ac:dyDescent="0.25"/>
  <cols>
    <col min="1" max="1" width="89.140625" style="11" customWidth="1"/>
    <col min="2" max="2" width="101.28515625" style="11" customWidth="1"/>
  </cols>
  <sheetData>
    <row r="1" spans="1:2" ht="30" customHeight="1" x14ac:dyDescent="0.25">
      <c r="A1" s="12" t="s">
        <v>25</v>
      </c>
      <c r="B1" s="12" t="s">
        <v>29</v>
      </c>
    </row>
    <row r="2" spans="1:2" ht="69" x14ac:dyDescent="0.25">
      <c r="A2" s="13" t="s">
        <v>23</v>
      </c>
      <c r="B2" s="14" t="s">
        <v>24</v>
      </c>
    </row>
    <row r="3" spans="1:2" ht="17.25" x14ac:dyDescent="0.25">
      <c r="A3" s="14"/>
      <c r="B3" s="14"/>
    </row>
    <row r="4" spans="1:2" ht="51.75" x14ac:dyDescent="0.25">
      <c r="A4" s="13" t="s">
        <v>48</v>
      </c>
      <c r="B4" s="14" t="s">
        <v>49</v>
      </c>
    </row>
    <row r="5" spans="1:2" ht="17.25" x14ac:dyDescent="0.25">
      <c r="A5" s="14"/>
      <c r="B5" s="14"/>
    </row>
    <row r="6" spans="1:2" ht="34.5" x14ac:dyDescent="0.25">
      <c r="A6" s="13" t="s">
        <v>27</v>
      </c>
      <c r="B6" s="14" t="s">
        <v>47</v>
      </c>
    </row>
    <row r="7" spans="1:2" ht="17.25" x14ac:dyDescent="0.25">
      <c r="A7" s="14"/>
      <c r="B7" s="14"/>
    </row>
    <row r="8" spans="1:2" ht="34.5" x14ac:dyDescent="0.25">
      <c r="A8" s="13" t="s">
        <v>32</v>
      </c>
      <c r="B8" s="14"/>
    </row>
    <row r="9" spans="1:2" ht="17.25" x14ac:dyDescent="0.25">
      <c r="A9" s="13"/>
      <c r="B9" s="14"/>
    </row>
    <row r="10" spans="1:2" ht="86.25" x14ac:dyDescent="0.25">
      <c r="A10" s="13" t="s">
        <v>33</v>
      </c>
      <c r="B10" s="14" t="s">
        <v>34</v>
      </c>
    </row>
    <row r="11" spans="1:2" ht="17.25" x14ac:dyDescent="0.25">
      <c r="A11" s="15"/>
      <c r="B11" s="15"/>
    </row>
    <row r="12" spans="1:2" ht="86.25" x14ac:dyDescent="0.25">
      <c r="A12" s="14" t="s">
        <v>30</v>
      </c>
      <c r="B12" s="14" t="s">
        <v>26</v>
      </c>
    </row>
    <row r="13" spans="1:2" ht="17.25" x14ac:dyDescent="0.25">
      <c r="A13" s="14"/>
      <c r="B13" s="15"/>
    </row>
    <row r="14" spans="1:2" ht="34.5" x14ac:dyDescent="0.25">
      <c r="A14" s="14" t="s">
        <v>28</v>
      </c>
      <c r="B14" s="15"/>
    </row>
    <row r="15" spans="1:2" ht="17.25" x14ac:dyDescent="0.25">
      <c r="A15" s="14"/>
      <c r="B15" s="15"/>
    </row>
    <row r="16" spans="1:2" ht="34.5" x14ac:dyDescent="0.25">
      <c r="A16" s="14" t="s">
        <v>31</v>
      </c>
      <c r="B16" s="15"/>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6"/>
  <sheetViews>
    <sheetView workbookViewId="0">
      <selection activeCell="B4" sqref="B4"/>
    </sheetView>
  </sheetViews>
  <sheetFormatPr defaultColWidth="8.85546875" defaultRowHeight="15" x14ac:dyDescent="0.25"/>
  <cols>
    <col min="1" max="1" width="28.42578125" customWidth="1"/>
    <col min="2" max="3" width="25.7109375" customWidth="1"/>
    <col min="5" max="5" width="37.85546875" customWidth="1"/>
  </cols>
  <sheetData>
    <row r="1" spans="1:5" ht="45" customHeight="1" x14ac:dyDescent="0.25">
      <c r="A1" s="6" t="s">
        <v>11</v>
      </c>
      <c r="B1" s="2"/>
      <c r="C1" s="2"/>
    </row>
    <row r="2" spans="1:5" x14ac:dyDescent="0.25">
      <c r="A2" s="2"/>
      <c r="B2" s="1" t="s">
        <v>13</v>
      </c>
      <c r="C2" s="1" t="s">
        <v>12</v>
      </c>
      <c r="E2" s="1" t="s">
        <v>16</v>
      </c>
    </row>
    <row r="3" spans="1:5" x14ac:dyDescent="0.25">
      <c r="A3" s="1" t="s">
        <v>14</v>
      </c>
      <c r="B3" s="7">
        <v>2008</v>
      </c>
      <c r="C3" s="7">
        <v>1.9</v>
      </c>
    </row>
    <row r="4" spans="1:5" x14ac:dyDescent="0.25">
      <c r="A4" s="1" t="s">
        <v>15</v>
      </c>
      <c r="B4" s="7">
        <v>2018</v>
      </c>
      <c r="C4" s="7">
        <v>6.21</v>
      </c>
    </row>
    <row r="5" spans="1:5" x14ac:dyDescent="0.25">
      <c r="A5" s="1"/>
      <c r="B5" s="2"/>
      <c r="C5" s="2"/>
    </row>
    <row r="6" spans="1:5" ht="30" x14ac:dyDescent="0.25">
      <c r="A6" s="1" t="s">
        <v>18</v>
      </c>
      <c r="B6" s="3">
        <f>-1+(C4/C3)^(1/( B4 - B3))</f>
        <v>0.12572885948905976</v>
      </c>
      <c r="C6" s="2"/>
      <c r="E6" s="9" t="s">
        <v>17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26"/>
  <sheetViews>
    <sheetView workbookViewId="0">
      <selection activeCell="B5" sqref="B5"/>
    </sheetView>
  </sheetViews>
  <sheetFormatPr defaultColWidth="8.85546875" defaultRowHeight="15" x14ac:dyDescent="0.25"/>
  <cols>
    <col min="1" max="1" width="40.28515625" customWidth="1"/>
    <col min="2" max="2" width="15.140625" customWidth="1"/>
    <col min="3" max="3" width="68.85546875" customWidth="1"/>
    <col min="4" max="4" width="47.85546875" customWidth="1"/>
  </cols>
  <sheetData>
    <row r="1" spans="1:4" x14ac:dyDescent="0.25">
      <c r="A1" s="1" t="s">
        <v>6</v>
      </c>
      <c r="B1" s="2"/>
      <c r="C1" s="2"/>
    </row>
    <row r="2" spans="1:4" x14ac:dyDescent="0.25">
      <c r="A2" s="2"/>
      <c r="B2" s="2"/>
      <c r="C2" s="2"/>
    </row>
    <row r="3" spans="1:4" ht="30" x14ac:dyDescent="0.25">
      <c r="A3" s="2" t="s">
        <v>8</v>
      </c>
      <c r="B3" s="8">
        <v>1.6E-2</v>
      </c>
      <c r="C3" s="5" t="s">
        <v>10</v>
      </c>
      <c r="D3" s="1" t="s">
        <v>16</v>
      </c>
    </row>
    <row r="4" spans="1:4" ht="30" x14ac:dyDescent="0.25">
      <c r="A4" s="2" t="s">
        <v>4</v>
      </c>
      <c r="B4" s="8">
        <v>4.4999999999999998E-2</v>
      </c>
      <c r="C4" s="5" t="s">
        <v>46</v>
      </c>
    </row>
    <row r="5" spans="1:4" ht="30" x14ac:dyDescent="0.25">
      <c r="A5" s="2" t="s">
        <v>5</v>
      </c>
      <c r="B5" s="7">
        <v>1</v>
      </c>
      <c r="C5" s="5" t="s">
        <v>9</v>
      </c>
    </row>
    <row r="6" spans="1:4" x14ac:dyDescent="0.25">
      <c r="A6" s="2"/>
      <c r="B6" s="2"/>
      <c r="C6" s="2"/>
    </row>
    <row r="7" spans="1:4" x14ac:dyDescent="0.25">
      <c r="A7" s="1" t="s">
        <v>7</v>
      </c>
      <c r="B7" s="4">
        <f>B3 + B5*B4</f>
        <v>6.0999999999999999E-2</v>
      </c>
      <c r="C7" s="2"/>
    </row>
    <row r="8" spans="1:4" x14ac:dyDescent="0.25">
      <c r="A8" s="2"/>
      <c r="B8" s="2"/>
      <c r="C8" s="2"/>
    </row>
    <row r="12" spans="1:4" x14ac:dyDescent="0.25">
      <c r="A12" s="10" t="s">
        <v>36</v>
      </c>
      <c r="B12" s="11"/>
      <c r="C12" s="11"/>
    </row>
    <row r="13" spans="1:4" x14ac:dyDescent="0.25">
      <c r="A13" s="11"/>
      <c r="B13" s="10" t="s">
        <v>40</v>
      </c>
      <c r="C13" s="10" t="s">
        <v>41</v>
      </c>
    </row>
    <row r="14" spans="1:4" x14ac:dyDescent="0.25">
      <c r="A14" s="11" t="s">
        <v>37</v>
      </c>
      <c r="B14" s="19">
        <v>5.2499999999999998E-2</v>
      </c>
      <c r="C14" s="20">
        <v>2500</v>
      </c>
    </row>
    <row r="15" spans="1:4" x14ac:dyDescent="0.25">
      <c r="A15" s="11" t="s">
        <v>38</v>
      </c>
      <c r="B15" s="19">
        <v>4.7500000000000001E-2</v>
      </c>
      <c r="C15" s="20">
        <v>1125</v>
      </c>
    </row>
    <row r="16" spans="1:4" x14ac:dyDescent="0.25">
      <c r="A16" s="11" t="s">
        <v>39</v>
      </c>
      <c r="B16" s="19">
        <v>4.5199999999999997E-2</v>
      </c>
      <c r="C16" s="20">
        <v>3500</v>
      </c>
    </row>
    <row r="18" spans="1:3" x14ac:dyDescent="0.25">
      <c r="A18" s="11" t="s">
        <v>42</v>
      </c>
      <c r="B18" s="21">
        <v>0.14000000000000001</v>
      </c>
    </row>
    <row r="19" spans="1:3" x14ac:dyDescent="0.25">
      <c r="A19" s="10" t="s">
        <v>43</v>
      </c>
      <c r="B19" s="17">
        <f>(1 - B18) * SUMPRODUCT(B14:B16,C14:C16)/SUM(C14:C16)</f>
        <v>4.1387122807017541E-2</v>
      </c>
    </row>
    <row r="22" spans="1:3" x14ac:dyDescent="0.25">
      <c r="A22" s="10" t="s">
        <v>35</v>
      </c>
      <c r="B22" s="11"/>
      <c r="C22" s="10" t="s">
        <v>44</v>
      </c>
    </row>
    <row r="23" spans="1:3" x14ac:dyDescent="0.25">
      <c r="A23" s="11" t="s">
        <v>0</v>
      </c>
      <c r="B23" s="18">
        <f>B7</f>
        <v>6.0999999999999999E-2</v>
      </c>
      <c r="C23" s="22">
        <v>48000</v>
      </c>
    </row>
    <row r="24" spans="1:3" x14ac:dyDescent="0.25">
      <c r="A24" s="11" t="s">
        <v>36</v>
      </c>
      <c r="B24" s="17">
        <f>B19</f>
        <v>4.1387122807017541E-2</v>
      </c>
      <c r="C24" s="16">
        <f>SUM(C14:C16)</f>
        <v>7125</v>
      </c>
    </row>
    <row r="26" spans="1:3" x14ac:dyDescent="0.25">
      <c r="A26" s="10" t="s">
        <v>45</v>
      </c>
      <c r="B26" s="17">
        <f>SUMPRODUCT(B23:B24, C23:C24)/SUM(C23:C24)</f>
        <v>5.8465002267573694E-2</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27"/>
  <sheetViews>
    <sheetView tabSelected="1" workbookViewId="0">
      <selection activeCell="B17" sqref="B17"/>
    </sheetView>
  </sheetViews>
  <sheetFormatPr defaultColWidth="8.85546875" defaultRowHeight="15" x14ac:dyDescent="0.25"/>
  <cols>
    <col min="1" max="1" width="35.7109375" customWidth="1"/>
    <col min="2" max="2" width="20.7109375" customWidth="1"/>
    <col min="3" max="3" width="25.7109375" customWidth="1"/>
    <col min="4" max="10" width="10.7109375" customWidth="1"/>
  </cols>
  <sheetData>
    <row r="1" spans="1:10" x14ac:dyDescent="0.25">
      <c r="A1" s="1" t="s">
        <v>55</v>
      </c>
      <c r="B1" s="2"/>
    </row>
    <row r="2" spans="1:10" x14ac:dyDescent="0.25">
      <c r="A2" s="27" t="s">
        <v>57</v>
      </c>
      <c r="B2" s="2"/>
    </row>
    <row r="3" spans="1:10" x14ac:dyDescent="0.25">
      <c r="A3" s="27" t="s">
        <v>58</v>
      </c>
      <c r="B3" s="3">
        <v>0.05</v>
      </c>
    </row>
    <row r="4" spans="1:10" x14ac:dyDescent="0.25">
      <c r="A4" s="27" t="s">
        <v>1</v>
      </c>
      <c r="B4" s="2"/>
    </row>
    <row r="5" spans="1:10" x14ac:dyDescent="0.25">
      <c r="A5" s="27" t="s">
        <v>2</v>
      </c>
      <c r="B5" s="3"/>
    </row>
    <row r="6" spans="1:10" x14ac:dyDescent="0.25">
      <c r="A6" s="27" t="s">
        <v>20</v>
      </c>
      <c r="B6" s="2"/>
    </row>
    <row r="7" spans="1:10" x14ac:dyDescent="0.25">
      <c r="A7" s="27" t="s">
        <v>21</v>
      </c>
      <c r="B7" s="3"/>
    </row>
    <row r="8" spans="1:10" x14ac:dyDescent="0.25">
      <c r="A8" s="27" t="s">
        <v>3</v>
      </c>
      <c r="B8" s="2" t="s">
        <v>59</v>
      </c>
    </row>
    <row r="9" spans="1:10" x14ac:dyDescent="0.25">
      <c r="A9" s="27" t="s">
        <v>0</v>
      </c>
      <c r="B9" s="3">
        <v>0.08</v>
      </c>
    </row>
    <row r="10" spans="1:10" x14ac:dyDescent="0.25">
      <c r="A10" s="27" t="s">
        <v>56</v>
      </c>
      <c r="B10" s="23">
        <v>2</v>
      </c>
    </row>
    <row r="11" spans="1:10" x14ac:dyDescent="0.25">
      <c r="A11" s="1"/>
      <c r="B11" s="2"/>
    </row>
    <row r="12" spans="1:10" x14ac:dyDescent="0.25">
      <c r="A12" s="1"/>
      <c r="B12" s="2"/>
    </row>
    <row r="13" spans="1:10" x14ac:dyDescent="0.25">
      <c r="A13" s="1"/>
      <c r="B13" s="2"/>
      <c r="C13" s="26" t="s">
        <v>51</v>
      </c>
      <c r="D13" s="25">
        <v>3.5000000000000003E-2</v>
      </c>
      <c r="E13" s="25">
        <v>0.04</v>
      </c>
      <c r="F13" s="25">
        <v>4.4999999999999998E-2</v>
      </c>
      <c r="G13" s="25">
        <v>4.9999999999999996E-2</v>
      </c>
      <c r="H13" s="25">
        <v>5.4999999999999993E-2</v>
      </c>
      <c r="I13" s="25">
        <v>5.9999999999999991E-2</v>
      </c>
      <c r="J13" s="25">
        <v>6.4999999999999988E-2</v>
      </c>
    </row>
    <row r="14" spans="1:10" x14ac:dyDescent="0.25">
      <c r="A14" s="1"/>
      <c r="B14" s="2"/>
      <c r="C14" s="25">
        <v>6.5000000000000002E-2</v>
      </c>
      <c r="D14" s="28">
        <v>69</v>
      </c>
      <c r="E14" s="28">
        <v>83.2</v>
      </c>
      <c r="F14" s="28">
        <v>104.49999999999997</v>
      </c>
      <c r="G14" s="28">
        <v>139.99999999999994</v>
      </c>
      <c r="H14" s="28">
        <v>210.9999999999998</v>
      </c>
      <c r="I14" s="28"/>
      <c r="J14" s="28"/>
    </row>
    <row r="15" spans="1:10" x14ac:dyDescent="0.25">
      <c r="A15" s="1"/>
      <c r="B15" s="2"/>
      <c r="C15" s="25">
        <v>7.0000000000000007E-2</v>
      </c>
      <c r="D15" s="28">
        <v>59.142857142857132</v>
      </c>
      <c r="E15" s="28">
        <v>69.333333333333329</v>
      </c>
      <c r="F15" s="28">
        <v>83.599999999999966</v>
      </c>
      <c r="G15" s="28">
        <v>104.99999999999994</v>
      </c>
      <c r="H15" s="28">
        <v>140.66666666666654</v>
      </c>
      <c r="I15" s="28">
        <v>211.99999999999969</v>
      </c>
      <c r="J15" s="28"/>
    </row>
    <row r="16" spans="1:10" x14ac:dyDescent="0.25">
      <c r="A16" s="1"/>
      <c r="B16" s="2"/>
      <c r="C16" s="25">
        <v>7.5000000000000011E-2</v>
      </c>
      <c r="D16" s="28">
        <v>51.749999999999986</v>
      </c>
      <c r="E16" s="28">
        <v>59.428571428571416</v>
      </c>
      <c r="F16" s="28">
        <v>69.666666666666629</v>
      </c>
      <c r="G16" s="28">
        <v>83.999999999999957</v>
      </c>
      <c r="H16" s="28">
        <v>105.4999999999999</v>
      </c>
      <c r="I16" s="28">
        <v>141.33333333333314</v>
      </c>
      <c r="J16" s="28">
        <v>212.99999999999952</v>
      </c>
    </row>
    <row r="17" spans="1:10" x14ac:dyDescent="0.25">
      <c r="A17" s="1"/>
      <c r="B17" s="2"/>
      <c r="C17" s="25">
        <v>8.0000000000000016E-2</v>
      </c>
      <c r="D17" s="28">
        <v>45.999999999999986</v>
      </c>
      <c r="E17" s="28">
        <v>51.999999999999986</v>
      </c>
      <c r="F17" s="28">
        <v>59.71428571428568</v>
      </c>
      <c r="G17" s="28">
        <v>69.999999999999957</v>
      </c>
      <c r="H17" s="28">
        <v>84.39999999999992</v>
      </c>
      <c r="I17" s="28">
        <v>105.99999999999987</v>
      </c>
      <c r="J17" s="28">
        <v>141.99999999999974</v>
      </c>
    </row>
    <row r="18" spans="1:10" x14ac:dyDescent="0.25">
      <c r="A18" s="1"/>
      <c r="B18" s="2"/>
      <c r="C18" s="25">
        <v>8.500000000000002E-2</v>
      </c>
      <c r="D18" s="28">
        <v>41.399999999999984</v>
      </c>
      <c r="E18" s="28">
        <v>46.222222222222207</v>
      </c>
      <c r="F18" s="28">
        <v>52.249999999999972</v>
      </c>
      <c r="G18" s="28">
        <v>59.999999999999964</v>
      </c>
      <c r="H18" s="28">
        <v>70.333333333333272</v>
      </c>
      <c r="I18" s="28">
        <v>84.799999999999912</v>
      </c>
      <c r="J18" s="28">
        <v>106.49999999999983</v>
      </c>
    </row>
    <row r="19" spans="1:10" x14ac:dyDescent="0.25">
      <c r="A19" s="1"/>
      <c r="B19" s="2"/>
      <c r="C19" s="25">
        <v>9.0000000000000024E-2</v>
      </c>
      <c r="D19" s="28">
        <v>37.636363636363619</v>
      </c>
      <c r="E19" s="28">
        <v>41.59999999999998</v>
      </c>
      <c r="F19" s="28">
        <v>46.444444444444414</v>
      </c>
      <c r="G19" s="28">
        <v>52.499999999999964</v>
      </c>
      <c r="H19" s="28">
        <v>60.285714285714228</v>
      </c>
      <c r="I19" s="28">
        <v>70.666666666666586</v>
      </c>
      <c r="J19" s="28">
        <v>85.199999999999875</v>
      </c>
    </row>
    <row r="20" spans="1:10" x14ac:dyDescent="0.25">
      <c r="A20" s="1"/>
      <c r="B20" s="2"/>
      <c r="C20" s="25">
        <v>9.5000000000000029E-2</v>
      </c>
      <c r="D20" s="28">
        <v>34.499999999999986</v>
      </c>
      <c r="E20" s="28">
        <v>37.818181818181799</v>
      </c>
      <c r="F20" s="28">
        <v>41.799999999999969</v>
      </c>
      <c r="G20" s="28">
        <v>46.666666666666636</v>
      </c>
      <c r="H20" s="28">
        <v>52.74999999999995</v>
      </c>
      <c r="I20" s="28">
        <v>60.571428571428505</v>
      </c>
      <c r="J20" s="28">
        <v>70.999999999999901</v>
      </c>
    </row>
    <row r="21" spans="1:10" x14ac:dyDescent="0.25">
      <c r="A21" s="1"/>
      <c r="B21" s="2" t="s">
        <v>50</v>
      </c>
      <c r="C21" s="29">
        <v>81.808276868059423</v>
      </c>
    </row>
    <row r="22" spans="1:10" x14ac:dyDescent="0.25">
      <c r="A22" s="1"/>
      <c r="B22" s="2"/>
    </row>
    <row r="23" spans="1:10" x14ac:dyDescent="0.25">
      <c r="A23" s="1" t="s">
        <v>19</v>
      </c>
      <c r="B23" s="2"/>
    </row>
    <row r="24" spans="1:10" x14ac:dyDescent="0.25">
      <c r="A24" s="27" t="s">
        <v>52</v>
      </c>
      <c r="B24" s="23"/>
    </row>
    <row r="25" spans="1:10" x14ac:dyDescent="0.25">
      <c r="A25" s="27" t="s">
        <v>53</v>
      </c>
      <c r="B25" s="23"/>
    </row>
    <row r="26" spans="1:10" x14ac:dyDescent="0.25">
      <c r="A26" s="27" t="s">
        <v>22</v>
      </c>
      <c r="B26" s="24"/>
    </row>
    <row r="27" spans="1:10" x14ac:dyDescent="0.25">
      <c r="A27" s="27" t="s">
        <v>54</v>
      </c>
      <c r="B27"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StockPriceCalc">
                <anchor moveWithCells="1">
                  <from>
                    <xdr:col>0</xdr:col>
                    <xdr:colOff>238125</xdr:colOff>
                    <xdr:row>28</xdr:row>
                    <xdr:rowOff>9525</xdr:rowOff>
                  </from>
                  <to>
                    <xdr:col>0</xdr:col>
                    <xdr:colOff>1781175</xdr:colOff>
                    <xdr:row>32</xdr:row>
                    <xdr:rowOff>0</xdr:rowOff>
                  </to>
                </anchor>
              </controlPr>
            </control>
          </mc:Choice>
        </mc:AlternateContent>
        <mc:AlternateContent xmlns:mc="http://schemas.openxmlformats.org/markup-compatibility/2006">
          <mc:Choice Requires="x14">
            <control shapeId="1029" r:id="rId5" name="Button 5">
              <controlPr defaultSize="0" print="0" autoFill="0" autoPict="0" macro="[0]!ClearSheet">
                <anchor moveWithCells="1">
                  <from>
                    <xdr:col>0</xdr:col>
                    <xdr:colOff>390525</xdr:colOff>
                    <xdr:row>33</xdr:row>
                    <xdr:rowOff>123825</xdr:rowOff>
                  </from>
                  <to>
                    <xdr:col>0</xdr:col>
                    <xdr:colOff>1533525</xdr:colOff>
                    <xdr:row>35</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Firm Value versus Stock Value</vt:lpstr>
      <vt:lpstr>Compute CAGRs</vt:lpstr>
      <vt:lpstr>Compute WACC or Cost of Equity </vt:lpstr>
      <vt:lpstr>Calculate Stock Prices</vt:lpstr>
    </vt:vector>
  </TitlesOfParts>
  <Company>Loyola University Chicago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Todd, Steven</dc:creator>
  <cp:lastModifiedBy>Todd, Steven</cp:lastModifiedBy>
  <cp:lastPrinted>2018-11-08T22:05:22Z</cp:lastPrinted>
  <dcterms:created xsi:type="dcterms:W3CDTF">2018-11-05T16:52:15Z</dcterms:created>
  <dcterms:modified xsi:type="dcterms:W3CDTF">2020-02-27T18:56:58Z</dcterms:modified>
</cp:coreProperties>
</file>